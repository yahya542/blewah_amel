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35" windowHeight="11355"/>
  </bookViews>
  <sheets>
    <sheet name="Perhitungan AHP" sheetId="4" r:id="rId1"/>
    <sheet name="Perhitungan COCOSO" sheetId="5" r:id="rId2"/>
  </sheets>
  <calcPr calcId="144525"/>
</workbook>
</file>

<file path=xl/sharedStrings.xml><?xml version="1.0" encoding="utf-8"?>
<sst xmlns="http://schemas.openxmlformats.org/spreadsheetml/2006/main" count="180" uniqueCount="114">
  <si>
    <t>Skala Saaty Perbandingan AHP</t>
  </si>
  <si>
    <t>Nilai</t>
  </si>
  <si>
    <t>Keterangan</t>
  </si>
  <si>
    <t>Matrik perbandingan dari data yang di dapat untuk kriteria adalah sebagai berikut :</t>
  </si>
  <si>
    <t>Sama penting</t>
  </si>
  <si>
    <t>jumlah buah pertanaman : waktu panen→ 0,5</t>
  </si>
  <si>
    <t>Sedikit lebih penting</t>
  </si>
  <si>
    <t>Ketahan terhadap penyakit : waktu panen → 3</t>
  </si>
  <si>
    <t>Lebih penting</t>
  </si>
  <si>
    <t>ketahan terhadap penyakit : jumlah buah pertanaman→ 4</t>
  </si>
  <si>
    <t>Sangat penting</t>
  </si>
  <si>
    <t>Kualitas buah : waktu panen→ 2</t>
  </si>
  <si>
    <t>Mutlak lebih penting</t>
  </si>
  <si>
    <t>kualitas buah : jumlah buah pertanaman→ 3</t>
  </si>
  <si>
    <t>2,4,6,8</t>
  </si>
  <si>
    <t>Nilai tengah (kompromi)</t>
  </si>
  <si>
    <t>Kualitas buah : ketahanan terhadap penyakit → 0,5</t>
  </si>
  <si>
    <t>berat buah : waktu panen → 4</t>
  </si>
  <si>
    <t>Kriteria  :</t>
  </si>
  <si>
    <t>berat buah : jumlah buah pertanaman → 5</t>
  </si>
  <si>
    <t>C1 = Waktu panen</t>
  </si>
  <si>
    <t>berat buah : ketahanan terhadap penyakit → 2</t>
  </si>
  <si>
    <t>1. Perbandingan antara Kriteria dengan Kriteria</t>
  </si>
  <si>
    <t>C2 = Jumlah buah</t>
  </si>
  <si>
    <t>berat buah : kualitas buah → 3</t>
  </si>
  <si>
    <t>Kriteria</t>
  </si>
  <si>
    <t>WP</t>
  </si>
  <si>
    <t>JBP</t>
  </si>
  <si>
    <t>KTP</t>
  </si>
  <si>
    <t>KB</t>
  </si>
  <si>
    <t>BB</t>
  </si>
  <si>
    <t>HB</t>
  </si>
  <si>
    <t>C3 = Ketahanan penyakit</t>
  </si>
  <si>
    <t>Harga bibit : waktu panen → 5</t>
  </si>
  <si>
    <t>C4 = Kualitas buah</t>
  </si>
  <si>
    <t>Harga bibit : jumlah buah pertanaman → 6</t>
  </si>
  <si>
    <t>C5 = Berat buah</t>
  </si>
  <si>
    <t>Harga bibit : ketahanan terhadap penyakit → 3</t>
  </si>
  <si>
    <t>C6 = Harga bibit</t>
  </si>
  <si>
    <t>Harga bibit : kualitas buah → 4</t>
  </si>
  <si>
    <t>Harga bibit : berat buah → 2</t>
  </si>
  <si>
    <t>Total</t>
  </si>
  <si>
    <t>Vektor</t>
  </si>
  <si>
    <t>Bobot</t>
  </si>
  <si>
    <t>Eigen Value</t>
  </si>
  <si>
    <t>CI</t>
  </si>
  <si>
    <t>CR</t>
  </si>
  <si>
    <t>Pemilihan bibit blewah unggul</t>
  </si>
  <si>
    <t>Data Awal</t>
  </si>
  <si>
    <t>waktu panen</t>
  </si>
  <si>
    <t>jumlah buah pertanaman</t>
  </si>
  <si>
    <t>Ketahanan Terhadap penyakit</t>
  </si>
  <si>
    <t>Kualitas buah</t>
  </si>
  <si>
    <t>berat buah</t>
  </si>
  <si>
    <t>Harga bibit</t>
  </si>
  <si>
    <t xml:space="preserve">Nilai alternatif diperoleh dari hasil studi literatur dan dikonversi </t>
  </si>
  <si>
    <t>Bibit Golden Aroma</t>
  </si>
  <si>
    <t>ke dalam skala 1–5 berdasarkan tingkat keunggulan masing-masing kriteria</t>
  </si>
  <si>
    <t>Bibit Varietas Aruna</t>
  </si>
  <si>
    <t>Bibit Sweet Net</t>
  </si>
  <si>
    <t>N0</t>
  </si>
  <si>
    <t xml:space="preserve">Skor </t>
  </si>
  <si>
    <t xml:space="preserve">Keteran gan </t>
  </si>
  <si>
    <t>Bibit King Blewah</t>
  </si>
  <si>
    <t>1.</t>
  </si>
  <si>
    <t>Sangat Baik</t>
  </si>
  <si>
    <t>Bibit Rangipo</t>
  </si>
  <si>
    <t>2.</t>
  </si>
  <si>
    <t>Baik</t>
  </si>
  <si>
    <t>3.</t>
  </si>
  <si>
    <t>Cukup Baik</t>
  </si>
  <si>
    <t>Kode</t>
  </si>
  <si>
    <t>Atribut</t>
  </si>
  <si>
    <t>Alternatif</t>
  </si>
  <si>
    <t>4.</t>
  </si>
  <si>
    <t>Tidak Baik</t>
  </si>
  <si>
    <t>C1</t>
  </si>
  <si>
    <t>Cost</t>
  </si>
  <si>
    <t>A1</t>
  </si>
  <si>
    <t>5.</t>
  </si>
  <si>
    <t>Sangat Tidak Baik</t>
  </si>
  <si>
    <t>C2</t>
  </si>
  <si>
    <t>Benefit</t>
  </si>
  <si>
    <t>A2</t>
  </si>
  <si>
    <t>C3</t>
  </si>
  <si>
    <t>A3</t>
  </si>
  <si>
    <t>C4</t>
  </si>
  <si>
    <t>A4</t>
  </si>
  <si>
    <t>C5</t>
  </si>
  <si>
    <t>A5</t>
  </si>
  <si>
    <t>C6</t>
  </si>
  <si>
    <t>Bobot Kompromi</t>
  </si>
  <si>
    <t>λ</t>
  </si>
  <si>
    <t>Matriks Keputusan Awal</t>
  </si>
  <si>
    <t>x=</t>
  </si>
  <si>
    <t>Min</t>
  </si>
  <si>
    <t>Max</t>
  </si>
  <si>
    <t>Karena semakin Kecil nilainya Makin Baik</t>
  </si>
  <si>
    <t>Normalisasi Matriks Keputusan</t>
  </si>
  <si>
    <t>Karena semakin besar nilainya semakin baik</t>
  </si>
  <si>
    <t>Perhitungan Weighted Comparability Sequence (Si)</t>
  </si>
  <si>
    <t>Si</t>
  </si>
  <si>
    <t>Perhitungan Power Weight Of Sequences (Pi)</t>
  </si>
  <si>
    <t>Pi</t>
  </si>
  <si>
    <t>Perhitungan Bobot Relatif</t>
  </si>
  <si>
    <t>Ka</t>
  </si>
  <si>
    <t>Kb</t>
  </si>
  <si>
    <t>Kc</t>
  </si>
  <si>
    <t>Ka (Linear Weighting Model)</t>
  </si>
  <si>
    <t>Kb (Sum-based model)</t>
  </si>
  <si>
    <t>Kc (Weighted Compromise Model)</t>
  </si>
  <si>
    <t>Nilai Preferensi Akhir</t>
  </si>
  <si>
    <t>K</t>
  </si>
  <si>
    <t>Ranking</t>
  </si>
</sst>
</file>

<file path=xl/styles.xml><?xml version="1.0" encoding="utf-8"?>
<styleSheet xmlns="http://schemas.openxmlformats.org/spreadsheetml/2006/main">
  <numFmts count="6">
    <numFmt numFmtId="176" formatCode="0.000"/>
    <numFmt numFmtId="177" formatCode="0.0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35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17" fillId="17" borderId="18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0" borderId="17" applyNumberFormat="0" applyFont="0" applyAlignment="0" applyProtection="0">
      <alignment vertical="center"/>
    </xf>
    <xf numFmtId="0" fontId="16" fillId="19" borderId="1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7" borderId="16" applyNumberFormat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" fillId="13" borderId="15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3">
    <xf numFmtId="0" fontId="0" fillId="0" borderId="0" xfId="0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77" fontId="1" fillId="0" borderId="1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Fill="1"/>
    <xf numFmtId="0" fontId="3" fillId="0" borderId="1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0" borderId="0" xfId="0" applyFont="1"/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6" borderId="1" xfId="0" applyNumberForma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0" fillId="0" borderId="1" xfId="0" applyBorder="1"/>
    <xf numFmtId="0" fontId="1" fillId="2" borderId="8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7" fontId="0" fillId="8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0" borderId="0" xfId="0" applyFont="1"/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0" fillId="0" borderId="0" xfId="0" applyNumberFormat="1"/>
    <xf numFmtId="176" fontId="1" fillId="0" borderId="0" xfId="0" applyNumberFormat="1" applyFont="1" applyAlignment="1">
      <alignment horizontal="right"/>
    </xf>
    <xf numFmtId="2" fontId="1" fillId="2" borderId="0" xfId="0" applyNumberFormat="1" applyFont="1" applyFill="1"/>
    <xf numFmtId="0" fontId="1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2" fontId="1" fillId="0" borderId="0" xfId="0" applyNumberFormat="1" applyFont="1" applyFill="1" applyBorder="1"/>
    <xf numFmtId="2" fontId="0" fillId="0" borderId="0" xfId="0" applyNumberFormat="1" applyFill="1" applyBorder="1"/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2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76" fontId="0" fillId="0" borderId="0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328394</xdr:colOff>
      <xdr:row>11</xdr:row>
      <xdr:rowOff>33103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4681855" cy="223329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1177226</xdr:colOff>
      <xdr:row>33</xdr:row>
      <xdr:rowOff>19064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7505" y="4191000"/>
          <a:ext cx="1176655" cy="219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272142</xdr:colOff>
      <xdr:row>31</xdr:row>
      <xdr:rowOff>74222</xdr:rowOff>
    </xdr:from>
    <xdr:to>
      <xdr:col>10</xdr:col>
      <xdr:colOff>37110</xdr:colOff>
      <xdr:row>36</xdr:row>
      <xdr:rowOff>97106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7715" y="5731510"/>
          <a:ext cx="1822450" cy="927735"/>
        </a:xfrm>
        <a:prstGeom prst="rect">
          <a:avLst/>
        </a:prstGeom>
      </xdr:spPr>
    </xdr:pic>
    <xdr:clientData/>
  </xdr:twoCellAnchor>
  <xdr:twoCellAnchor editAs="oneCell">
    <xdr:from>
      <xdr:col>10</xdr:col>
      <xdr:colOff>235033</xdr:colOff>
      <xdr:row>31</xdr:row>
      <xdr:rowOff>74222</xdr:rowOff>
    </xdr:from>
    <xdr:to>
      <xdr:col>12</xdr:col>
      <xdr:colOff>819892</xdr:colOff>
      <xdr:row>36</xdr:row>
      <xdr:rowOff>146587</xdr:rowOff>
    </xdr:to>
    <xdr:pic>
      <xdr:nvPicPr>
        <xdr:cNvPr id="3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8285" y="5731510"/>
          <a:ext cx="1956435" cy="977265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215900</xdr:colOff>
      <xdr:row>43</xdr:row>
      <xdr:rowOff>1</xdr:rowOff>
    </xdr:from>
    <xdr:to>
      <xdr:col>11</xdr:col>
      <xdr:colOff>139701</xdr:colOff>
      <xdr:row>47</xdr:row>
      <xdr:rowOff>12700</xdr:rowOff>
    </xdr:to>
    <xdr:pic>
      <xdr:nvPicPr>
        <xdr:cNvPr id="7" name="Picture 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7635" y="7829550"/>
          <a:ext cx="1981200" cy="736600"/>
        </a:xfrm>
        <a:prstGeom prst="rect">
          <a:avLst/>
        </a:prstGeom>
      </xdr:spPr>
    </xdr:pic>
    <xdr:clientData/>
  </xdr:twoCellAnchor>
  <xdr:twoCellAnchor editAs="oneCell">
    <xdr:from>
      <xdr:col>8</xdr:col>
      <xdr:colOff>292100</xdr:colOff>
      <xdr:row>54</xdr:row>
      <xdr:rowOff>0</xdr:rowOff>
    </xdr:from>
    <xdr:to>
      <xdr:col>11</xdr:col>
      <xdr:colOff>177800</xdr:colOff>
      <xdr:row>57</xdr:row>
      <xdr:rowOff>168275</xdr:rowOff>
    </xdr:to>
    <xdr:pic>
      <xdr:nvPicPr>
        <xdr:cNvPr id="9" name="Picture 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3835" y="9820275"/>
          <a:ext cx="1943100" cy="71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1333500</xdr:colOff>
      <xdr:row>72</xdr:row>
      <xdr:rowOff>1</xdr:rowOff>
    </xdr:from>
    <xdr:to>
      <xdr:col>4</xdr:col>
      <xdr:colOff>1181100</xdr:colOff>
      <xdr:row>75</xdr:row>
      <xdr:rowOff>130175</xdr:rowOff>
    </xdr:to>
    <xdr:pic>
      <xdr:nvPicPr>
        <xdr:cNvPr id="11" name="Picture 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0490" y="13077825"/>
          <a:ext cx="1882775" cy="673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317500</xdr:colOff>
      <xdr:row>76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1555" y="13077825"/>
          <a:ext cx="1416685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469900</xdr:colOff>
      <xdr:row>71</xdr:row>
      <xdr:rowOff>152401</xdr:rowOff>
    </xdr:from>
    <xdr:to>
      <xdr:col>9</xdr:col>
      <xdr:colOff>266699</xdr:colOff>
      <xdr:row>75</xdr:row>
      <xdr:rowOff>139701</xdr:rowOff>
    </xdr:to>
    <xdr:pic>
      <xdr:nvPicPr>
        <xdr:cNvPr id="15" name="Picture 1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0640" y="13049250"/>
          <a:ext cx="2092960" cy="71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170"/>
  <sheetViews>
    <sheetView tabSelected="1" zoomScale="80" zoomScaleNormal="80" topLeftCell="A2" workbookViewId="0">
      <selection activeCell="K32" sqref="K32"/>
    </sheetView>
  </sheetViews>
  <sheetFormatPr defaultColWidth="9" defaultRowHeight="14.25"/>
  <cols>
    <col min="1" max="1" width="12.7083333333333" customWidth="1"/>
    <col min="2" max="2" width="10.1416666666667" customWidth="1"/>
    <col min="3" max="3" width="12" customWidth="1"/>
    <col min="4" max="4" width="7.14166666666667" customWidth="1"/>
    <col min="5" max="5" width="7.85833333333333" customWidth="1"/>
    <col min="6" max="6" width="7.28333333333333" customWidth="1"/>
    <col min="7" max="7" width="7.56666666666667" customWidth="1"/>
    <col min="9" max="9" width="8.28333333333333" customWidth="1"/>
    <col min="10" max="10" width="6.425" customWidth="1"/>
    <col min="11" max="11" width="7.28333333333333" customWidth="1"/>
    <col min="13" max="13" width="58" customWidth="1"/>
  </cols>
  <sheetData>
    <row r="2" ht="15.75" spans="12:19">
      <c r="L2" s="56" t="s">
        <v>0</v>
      </c>
      <c r="O2" s="22"/>
      <c r="P2" s="22"/>
      <c r="Q2" s="22"/>
      <c r="R2" s="22"/>
      <c r="S2" s="22"/>
    </row>
    <row r="3" ht="16.5" customHeight="1" spans="12:19">
      <c r="L3" s="57" t="s">
        <v>1</v>
      </c>
      <c r="M3" s="74" t="s">
        <v>2</v>
      </c>
      <c r="O3" s="22" t="s">
        <v>3</v>
      </c>
      <c r="P3" s="22"/>
      <c r="Q3" s="22"/>
      <c r="R3" s="22"/>
      <c r="S3" s="22"/>
    </row>
    <row r="4" ht="15.75" customHeight="1" spans="12:19">
      <c r="L4" s="58">
        <v>1</v>
      </c>
      <c r="M4" s="75" t="s">
        <v>4</v>
      </c>
      <c r="O4" s="22" t="s">
        <v>5</v>
      </c>
      <c r="P4" s="22"/>
      <c r="Q4" s="22"/>
      <c r="R4" s="22"/>
      <c r="S4" s="22"/>
    </row>
    <row r="5" customHeight="1" spans="12:19">
      <c r="L5" s="58">
        <v>3</v>
      </c>
      <c r="M5" s="75" t="s">
        <v>6</v>
      </c>
      <c r="O5" s="22" t="s">
        <v>7</v>
      </c>
      <c r="P5" s="22"/>
      <c r="Q5" s="22"/>
      <c r="R5" s="22"/>
      <c r="S5" s="22"/>
    </row>
    <row r="6" ht="15.75" spans="12:19">
      <c r="L6" s="58">
        <v>5</v>
      </c>
      <c r="M6" s="75" t="s">
        <v>8</v>
      </c>
      <c r="O6" s="22" t="s">
        <v>9</v>
      </c>
      <c r="P6" s="22"/>
      <c r="Q6" s="22"/>
      <c r="R6" s="22"/>
      <c r="S6" s="22"/>
    </row>
    <row r="7" ht="16.5" customHeight="1" spans="12:19">
      <c r="L7" s="58">
        <v>7</v>
      </c>
      <c r="M7" s="75" t="s">
        <v>10</v>
      </c>
      <c r="O7" s="22" t="s">
        <v>11</v>
      </c>
      <c r="P7" s="22"/>
      <c r="Q7" s="22"/>
      <c r="R7" s="22"/>
      <c r="S7" s="22"/>
    </row>
    <row r="8" ht="18.75" customHeight="1" spans="12:19">
      <c r="L8" s="58">
        <v>9</v>
      </c>
      <c r="M8" s="75" t="s">
        <v>12</v>
      </c>
      <c r="O8" s="22" t="s">
        <v>13</v>
      </c>
      <c r="P8" s="22"/>
      <c r="Q8" s="22"/>
      <c r="R8" s="22"/>
      <c r="S8" s="22"/>
    </row>
    <row r="9" ht="17.25" customHeight="1" spans="12:19">
      <c r="L9" s="59" t="s">
        <v>14</v>
      </c>
      <c r="M9" s="76" t="s">
        <v>15</v>
      </c>
      <c r="O9" s="22" t="s">
        <v>16</v>
      </c>
      <c r="P9" s="22"/>
      <c r="Q9" s="22"/>
      <c r="R9" s="22"/>
      <c r="S9" s="22"/>
    </row>
    <row r="10" spans="15:22">
      <c r="O10" s="22" t="s">
        <v>17</v>
      </c>
      <c r="P10" s="22"/>
      <c r="Q10" s="22"/>
      <c r="R10" s="22"/>
      <c r="S10" s="22"/>
      <c r="T10" s="22"/>
      <c r="U10" s="22"/>
      <c r="V10" s="22"/>
    </row>
    <row r="11" spans="12:22">
      <c r="L11" s="22" t="s">
        <v>18</v>
      </c>
      <c r="M11" s="22"/>
      <c r="N11" s="22"/>
      <c r="O11" s="22" t="s">
        <v>19</v>
      </c>
      <c r="P11" s="22"/>
      <c r="Q11" s="22"/>
      <c r="R11" s="22"/>
      <c r="S11" s="22"/>
      <c r="T11" s="22"/>
      <c r="U11" s="22"/>
      <c r="V11" s="22"/>
    </row>
    <row r="12" spans="12:22">
      <c r="L12" s="22" t="s">
        <v>20</v>
      </c>
      <c r="M12" s="22"/>
      <c r="N12" s="22"/>
      <c r="O12" s="22" t="s">
        <v>21</v>
      </c>
      <c r="P12" s="22"/>
      <c r="Q12" s="22"/>
      <c r="R12" s="22"/>
      <c r="S12" s="22"/>
      <c r="T12" s="22"/>
      <c r="U12" s="22"/>
      <c r="V12" s="22"/>
    </row>
    <row r="13" spans="1:22">
      <c r="A13" s="22" t="s">
        <v>22</v>
      </c>
      <c r="L13" s="22" t="s">
        <v>23</v>
      </c>
      <c r="M13" s="22"/>
      <c r="N13" s="22"/>
      <c r="O13" s="22" t="s">
        <v>24</v>
      </c>
      <c r="P13" s="22"/>
      <c r="Q13" s="22"/>
      <c r="R13" s="22"/>
      <c r="S13" s="22"/>
      <c r="T13" s="22"/>
      <c r="U13" s="22"/>
      <c r="V13" s="22"/>
    </row>
    <row r="14" spans="1:22">
      <c r="A14" s="31" t="s">
        <v>25</v>
      </c>
      <c r="B14" s="31" t="s">
        <v>26</v>
      </c>
      <c r="C14" s="31" t="s">
        <v>27</v>
      </c>
      <c r="D14" s="31" t="s">
        <v>28</v>
      </c>
      <c r="E14" s="31" t="s">
        <v>29</v>
      </c>
      <c r="F14" s="31" t="s">
        <v>30</v>
      </c>
      <c r="G14" s="31" t="s">
        <v>31</v>
      </c>
      <c r="L14" s="22" t="s">
        <v>32</v>
      </c>
      <c r="M14" s="22"/>
      <c r="N14" s="22"/>
      <c r="O14" s="22" t="s">
        <v>33</v>
      </c>
      <c r="P14" s="22"/>
      <c r="Q14" s="22"/>
      <c r="R14" s="22"/>
      <c r="S14" s="22"/>
      <c r="T14" s="22"/>
      <c r="U14" s="22"/>
      <c r="V14" s="22"/>
    </row>
    <row r="15" spans="1:22">
      <c r="A15" s="31" t="s">
        <v>26</v>
      </c>
      <c r="B15" s="41">
        <v>1</v>
      </c>
      <c r="C15" s="42">
        <f>1/B16</f>
        <v>0.5</v>
      </c>
      <c r="D15" s="43">
        <f>1/B17</f>
        <v>0.333333333333333</v>
      </c>
      <c r="E15" s="42">
        <f>1/B18</f>
        <v>0.5</v>
      </c>
      <c r="F15" s="43">
        <f>1/B19</f>
        <v>0.25</v>
      </c>
      <c r="G15" s="42">
        <f>1/B20</f>
        <v>0.2</v>
      </c>
      <c r="L15" s="22" t="s">
        <v>34</v>
      </c>
      <c r="M15" s="22"/>
      <c r="N15" s="22"/>
      <c r="O15" s="22" t="s">
        <v>35</v>
      </c>
      <c r="P15" s="22"/>
      <c r="Q15" s="22"/>
      <c r="R15" s="22"/>
      <c r="S15" s="22"/>
      <c r="T15" s="22"/>
      <c r="U15" s="22"/>
      <c r="V15" s="22"/>
    </row>
    <row r="16" spans="1:22">
      <c r="A16" s="31" t="s">
        <v>27</v>
      </c>
      <c r="B16" s="44">
        <v>2</v>
      </c>
      <c r="C16" s="41">
        <v>1</v>
      </c>
      <c r="D16" s="43">
        <f>1/C17</f>
        <v>0.25</v>
      </c>
      <c r="E16" s="43">
        <f>1/C18</f>
        <v>0.333333333333333</v>
      </c>
      <c r="F16" s="43">
        <f>1/C19</f>
        <v>0.2</v>
      </c>
      <c r="G16" s="43">
        <f>1/C20</f>
        <v>0.166666666666667</v>
      </c>
      <c r="L16" s="22" t="s">
        <v>36</v>
      </c>
      <c r="M16" s="22"/>
      <c r="N16" s="22"/>
      <c r="O16" s="22" t="s">
        <v>37</v>
      </c>
      <c r="P16" s="22"/>
      <c r="Q16" s="22"/>
      <c r="R16" s="22"/>
      <c r="S16" s="22"/>
      <c r="T16" s="22"/>
      <c r="U16" s="22"/>
      <c r="V16" s="22"/>
    </row>
    <row r="17" spans="1:22">
      <c r="A17" s="31" t="s">
        <v>28</v>
      </c>
      <c r="B17" s="44">
        <v>3</v>
      </c>
      <c r="C17" s="44">
        <v>4</v>
      </c>
      <c r="D17" s="41">
        <v>1</v>
      </c>
      <c r="E17" s="42">
        <f>1/D18</f>
        <v>0.5</v>
      </c>
      <c r="F17" s="42">
        <f>1/D19</f>
        <v>0.5</v>
      </c>
      <c r="G17" s="43">
        <f>1/D20</f>
        <v>0.333333333333333</v>
      </c>
      <c r="L17" s="22" t="s">
        <v>38</v>
      </c>
      <c r="M17" s="22"/>
      <c r="N17" s="22"/>
      <c r="O17" s="22" t="s">
        <v>39</v>
      </c>
      <c r="P17" s="22"/>
      <c r="Q17" s="22"/>
      <c r="R17" s="22"/>
      <c r="S17" s="22"/>
      <c r="T17" s="22"/>
      <c r="U17" s="22"/>
      <c r="V17" s="22"/>
    </row>
    <row r="18" spans="1:15">
      <c r="A18" s="31" t="s">
        <v>29</v>
      </c>
      <c r="B18" s="45">
        <v>2</v>
      </c>
      <c r="C18" s="45">
        <v>3</v>
      </c>
      <c r="D18" s="45">
        <v>2</v>
      </c>
      <c r="E18" s="41">
        <v>1</v>
      </c>
      <c r="F18" s="43">
        <f>1/E19</f>
        <v>0.333333333333333</v>
      </c>
      <c r="G18" s="43">
        <f>1/E20</f>
        <v>0.25</v>
      </c>
      <c r="O18" t="s">
        <v>40</v>
      </c>
    </row>
    <row r="19" spans="1:7">
      <c r="A19" s="31" t="s">
        <v>30</v>
      </c>
      <c r="B19" s="45">
        <v>4</v>
      </c>
      <c r="C19" s="45">
        <v>5</v>
      </c>
      <c r="D19" s="45">
        <v>2</v>
      </c>
      <c r="E19" s="45">
        <v>3</v>
      </c>
      <c r="F19" s="55">
        <v>1</v>
      </c>
      <c r="G19" s="42">
        <f>1/F20</f>
        <v>0.5</v>
      </c>
    </row>
    <row r="20" spans="1:7">
      <c r="A20" s="31" t="s">
        <v>31</v>
      </c>
      <c r="B20" s="45">
        <v>5</v>
      </c>
      <c r="C20" s="45">
        <v>6</v>
      </c>
      <c r="D20" s="45">
        <v>3</v>
      </c>
      <c r="E20" s="45">
        <v>4</v>
      </c>
      <c r="F20" s="45">
        <v>2</v>
      </c>
      <c r="G20" s="55">
        <v>1</v>
      </c>
    </row>
    <row r="21" spans="1:7">
      <c r="A21" s="31" t="s">
        <v>41</v>
      </c>
      <c r="B21" s="46">
        <f>SUM(B15:B20)</f>
        <v>17</v>
      </c>
      <c r="C21" s="47">
        <f t="shared" ref="C21:G21" si="0">SUM(C15:C20)</f>
        <v>19.5</v>
      </c>
      <c r="D21" s="47">
        <f t="shared" si="0"/>
        <v>8.58333333333333</v>
      </c>
      <c r="E21" s="47">
        <f t="shared" si="0"/>
        <v>9.33333333333333</v>
      </c>
      <c r="F21" s="47">
        <f t="shared" si="0"/>
        <v>4.28333333333333</v>
      </c>
      <c r="G21" s="47">
        <f t="shared" si="0"/>
        <v>2.45</v>
      </c>
    </row>
    <row r="23" ht="28.5" spans="1:11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I23" s="60" t="s">
        <v>42</v>
      </c>
      <c r="J23" s="60" t="s">
        <v>43</v>
      </c>
      <c r="K23" s="61" t="s">
        <v>44</v>
      </c>
    </row>
    <row r="24" spans="1:11">
      <c r="A24" s="31" t="s">
        <v>26</v>
      </c>
      <c r="B24" s="48">
        <f>B15/$B$21</f>
        <v>0.0588235294117647</v>
      </c>
      <c r="C24" s="48">
        <f>C15/$C$21</f>
        <v>0.0256410256410256</v>
      </c>
      <c r="D24" s="48">
        <f>D15/$D$21</f>
        <v>0.0388349514563107</v>
      </c>
      <c r="E24" s="48">
        <f>E15/$E$21</f>
        <v>0.0535714285714286</v>
      </c>
      <c r="F24" s="48">
        <f>F15/$F$21</f>
        <v>0.0583657587548638</v>
      </c>
      <c r="G24" s="48">
        <f>G15/$G$21</f>
        <v>0.0816326530612245</v>
      </c>
      <c r="I24" s="62">
        <f t="shared" ref="I24:I29" si="1">SUM(B24:G24)</f>
        <v>0.316869346896618</v>
      </c>
      <c r="J24" s="63">
        <f>I24/6</f>
        <v>0.052811557816103</v>
      </c>
      <c r="K24" s="64">
        <f>B21*J24</f>
        <v>0.897796482873751</v>
      </c>
    </row>
    <row r="25" spans="1:11">
      <c r="A25" s="31" t="s">
        <v>27</v>
      </c>
      <c r="B25" s="48">
        <f t="shared" ref="B25:B29" si="2">B16/$B$21</f>
        <v>0.117647058823529</v>
      </c>
      <c r="C25" s="48">
        <f t="shared" ref="C25:C29" si="3">C16/$C$21</f>
        <v>0.0512820512820513</v>
      </c>
      <c r="D25" s="48">
        <f t="shared" ref="D25:D29" si="4">D16/$D$21</f>
        <v>0.029126213592233</v>
      </c>
      <c r="E25" s="48">
        <f t="shared" ref="E25:E29" si="5">E16/$E$21</f>
        <v>0.0357142857142857</v>
      </c>
      <c r="F25" s="48">
        <f t="shared" ref="F25:F29" si="6">F16/$F$21</f>
        <v>0.0466926070038911</v>
      </c>
      <c r="G25" s="48">
        <f t="shared" ref="G25:G29" si="7">G16/$G$21</f>
        <v>0.0680272108843537</v>
      </c>
      <c r="I25" s="62">
        <f t="shared" si="1"/>
        <v>0.348489427300344</v>
      </c>
      <c r="J25" s="65">
        <f t="shared" ref="J25:J29" si="8">I25/6</f>
        <v>0.058081571216724</v>
      </c>
      <c r="K25" s="64">
        <f>C21*J25</f>
        <v>1.13259063872612</v>
      </c>
    </row>
    <row r="26" spans="1:11">
      <c r="A26" s="31" t="s">
        <v>28</v>
      </c>
      <c r="B26" s="48">
        <f t="shared" si="2"/>
        <v>0.176470588235294</v>
      </c>
      <c r="C26" s="48">
        <f t="shared" si="3"/>
        <v>0.205128205128205</v>
      </c>
      <c r="D26" s="48">
        <f t="shared" si="4"/>
        <v>0.116504854368932</v>
      </c>
      <c r="E26" s="48">
        <f t="shared" si="5"/>
        <v>0.0535714285714286</v>
      </c>
      <c r="F26" s="48">
        <f t="shared" si="6"/>
        <v>0.116731517509728</v>
      </c>
      <c r="G26" s="48">
        <f t="shared" si="7"/>
        <v>0.136054421768707</v>
      </c>
      <c r="I26" s="62">
        <f t="shared" si="1"/>
        <v>0.804461015582295</v>
      </c>
      <c r="J26" s="63">
        <f t="shared" si="8"/>
        <v>0.134076835930382</v>
      </c>
      <c r="K26" s="64">
        <f>D21*J26</f>
        <v>1.15082617506912</v>
      </c>
    </row>
    <row r="27" spans="1:11">
      <c r="A27" s="31" t="s">
        <v>29</v>
      </c>
      <c r="B27" s="48">
        <f t="shared" si="2"/>
        <v>0.117647058823529</v>
      </c>
      <c r="C27" s="48">
        <f t="shared" si="3"/>
        <v>0.153846153846154</v>
      </c>
      <c r="D27" s="48">
        <f t="shared" si="4"/>
        <v>0.233009708737864</v>
      </c>
      <c r="E27" s="48">
        <f t="shared" si="5"/>
        <v>0.107142857142857</v>
      </c>
      <c r="F27" s="48">
        <f t="shared" si="6"/>
        <v>0.0778210116731518</v>
      </c>
      <c r="G27" s="48">
        <f t="shared" si="7"/>
        <v>0.102040816326531</v>
      </c>
      <c r="I27" s="62">
        <f t="shared" si="1"/>
        <v>0.791507606550087</v>
      </c>
      <c r="J27" s="63">
        <f t="shared" si="8"/>
        <v>0.131917934425014</v>
      </c>
      <c r="K27" s="64">
        <f>E21*J27</f>
        <v>1.23123405463347</v>
      </c>
    </row>
    <row r="28" spans="1:11">
      <c r="A28" s="31" t="s">
        <v>30</v>
      </c>
      <c r="B28" s="48">
        <f t="shared" si="2"/>
        <v>0.235294117647059</v>
      </c>
      <c r="C28" s="48">
        <f t="shared" si="3"/>
        <v>0.256410256410256</v>
      </c>
      <c r="D28" s="48">
        <f t="shared" si="4"/>
        <v>0.233009708737864</v>
      </c>
      <c r="E28" s="48">
        <f t="shared" si="5"/>
        <v>0.321428571428571</v>
      </c>
      <c r="F28" s="48">
        <f t="shared" si="6"/>
        <v>0.233463035019455</v>
      </c>
      <c r="G28" s="48">
        <f t="shared" si="7"/>
        <v>0.204081632653061</v>
      </c>
      <c r="I28" s="62">
        <f t="shared" si="1"/>
        <v>1.48368732189627</v>
      </c>
      <c r="J28" s="63">
        <f t="shared" si="8"/>
        <v>0.247281220316045</v>
      </c>
      <c r="K28" s="64">
        <f>F21*J28</f>
        <v>1.05918789368706</v>
      </c>
    </row>
    <row r="29" spans="1:11">
      <c r="A29" s="31" t="s">
        <v>31</v>
      </c>
      <c r="B29" s="48">
        <f t="shared" si="2"/>
        <v>0.294117647058824</v>
      </c>
      <c r="C29" s="48">
        <f t="shared" si="3"/>
        <v>0.307692307692308</v>
      </c>
      <c r="D29" s="48">
        <f t="shared" si="4"/>
        <v>0.349514563106796</v>
      </c>
      <c r="E29" s="48">
        <f t="shared" si="5"/>
        <v>0.428571428571429</v>
      </c>
      <c r="F29" s="48">
        <f t="shared" si="6"/>
        <v>0.466926070038911</v>
      </c>
      <c r="G29" s="48">
        <f t="shared" si="7"/>
        <v>0.408163265306122</v>
      </c>
      <c r="I29" s="62">
        <f t="shared" si="1"/>
        <v>2.25498528177439</v>
      </c>
      <c r="J29" s="63">
        <f t="shared" si="8"/>
        <v>0.375830880295732</v>
      </c>
      <c r="K29" s="64">
        <f>G21*J29</f>
        <v>0.920785656724542</v>
      </c>
    </row>
    <row r="30" spans="1:11">
      <c r="A30" s="31" t="s">
        <v>41</v>
      </c>
      <c r="B30" s="49">
        <f t="shared" ref="B30:G30" si="9">SUM(B24:B29)</f>
        <v>1</v>
      </c>
      <c r="C30" s="49">
        <f t="shared" si="9"/>
        <v>1</v>
      </c>
      <c r="D30" s="49">
        <f t="shared" si="9"/>
        <v>1</v>
      </c>
      <c r="E30" s="49">
        <f t="shared" si="9"/>
        <v>1</v>
      </c>
      <c r="F30" s="49">
        <f t="shared" si="9"/>
        <v>1</v>
      </c>
      <c r="G30" s="49">
        <f t="shared" si="9"/>
        <v>1</v>
      </c>
      <c r="J30" s="66">
        <f>SUM(J24:J29)</f>
        <v>1</v>
      </c>
      <c r="K30" s="66">
        <f>SUM(K24:K29)</f>
        <v>6.39242090171405</v>
      </c>
    </row>
    <row r="31" spans="10:11">
      <c r="J31" s="67" t="s">
        <v>45</v>
      </c>
      <c r="K31" s="64">
        <f>(K30-6)/(6-1)</f>
        <v>0.0784841803428108</v>
      </c>
    </row>
    <row r="32" spans="10:11">
      <c r="J32" s="67" t="s">
        <v>46</v>
      </c>
      <c r="K32" s="68">
        <f>K31/1.24</f>
        <v>0.0632936938248474</v>
      </c>
    </row>
    <row r="34" spans="1:13">
      <c r="A34" s="50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</row>
    <row r="35" spans="1:13">
      <c r="A35" s="30"/>
      <c r="B35" s="37"/>
      <c r="C35" s="37"/>
      <c r="D35" s="37"/>
      <c r="E35" s="37"/>
      <c r="F35" s="37"/>
      <c r="G35" s="51"/>
      <c r="H35" s="51"/>
      <c r="I35" s="51"/>
      <c r="J35" s="51"/>
      <c r="K35" s="51"/>
      <c r="L35" s="51"/>
      <c r="M35" s="51"/>
    </row>
    <row r="36" spans="1:13">
      <c r="A36" s="37"/>
      <c r="B36" s="52"/>
      <c r="C36" s="53"/>
      <c r="D36" s="53"/>
      <c r="E36" s="53"/>
      <c r="F36" s="53"/>
      <c r="G36" s="51"/>
      <c r="H36" s="51"/>
      <c r="I36" s="51"/>
      <c r="J36" s="51"/>
      <c r="K36" s="51"/>
      <c r="L36" s="51"/>
      <c r="M36" s="51"/>
    </row>
    <row r="37" spans="1:13">
      <c r="A37" s="37"/>
      <c r="B37" s="52"/>
      <c r="C37" s="52"/>
      <c r="D37" s="53"/>
      <c r="E37" s="53"/>
      <c r="F37" s="53"/>
      <c r="G37" s="51"/>
      <c r="H37" s="51"/>
      <c r="I37" s="51"/>
      <c r="J37" s="51"/>
      <c r="K37" s="51"/>
      <c r="L37" s="51"/>
      <c r="M37" s="51"/>
    </row>
    <row r="38" spans="1:13">
      <c r="A38" s="37"/>
      <c r="B38" s="52"/>
      <c r="C38" s="52"/>
      <c r="D38" s="52"/>
      <c r="E38" s="53"/>
      <c r="F38" s="53"/>
      <c r="G38" s="51"/>
      <c r="H38" s="51"/>
      <c r="I38" s="51"/>
      <c r="J38" s="51"/>
      <c r="K38" s="51"/>
      <c r="L38" s="51"/>
      <c r="M38" s="51"/>
    </row>
    <row r="39" spans="1:13">
      <c r="A39" s="37"/>
      <c r="B39" s="52"/>
      <c r="C39" s="52"/>
      <c r="D39" s="52"/>
      <c r="E39" s="52"/>
      <c r="F39" s="53"/>
      <c r="G39" s="51"/>
      <c r="H39" s="51"/>
      <c r="I39" s="51"/>
      <c r="J39" s="51"/>
      <c r="K39" s="51"/>
      <c r="L39" s="51"/>
      <c r="M39" s="51"/>
    </row>
    <row r="40" spans="1:13">
      <c r="A40" s="37"/>
      <c r="B40" s="52"/>
      <c r="C40" s="52"/>
      <c r="D40" s="52"/>
      <c r="E40" s="52"/>
      <c r="F40" s="52"/>
      <c r="G40" s="51"/>
      <c r="H40" s="51"/>
      <c r="I40" s="51"/>
      <c r="J40" s="51"/>
      <c r="K40" s="51"/>
      <c r="L40" s="51"/>
      <c r="M40" s="51"/>
    </row>
    <row r="41" spans="1:13">
      <c r="A41" s="37"/>
      <c r="B41" s="52"/>
      <c r="C41" s="53"/>
      <c r="D41" s="53"/>
      <c r="E41" s="53"/>
      <c r="F41" s="53"/>
      <c r="G41" s="51"/>
      <c r="H41" s="51"/>
      <c r="I41" s="51"/>
      <c r="J41" s="51"/>
      <c r="K41" s="51"/>
      <c r="L41" s="51"/>
      <c r="M41" s="51"/>
    </row>
    <row r="42" spans="1:1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</row>
    <row r="43" spans="1:13">
      <c r="A43" s="30"/>
      <c r="B43" s="30"/>
      <c r="C43" s="30"/>
      <c r="D43" s="30"/>
      <c r="E43" s="30"/>
      <c r="F43" s="30"/>
      <c r="G43" s="51"/>
      <c r="H43" s="51"/>
      <c r="I43" s="30"/>
      <c r="J43" s="30"/>
      <c r="K43" s="69"/>
      <c r="L43" s="51"/>
      <c r="M43" s="51"/>
    </row>
    <row r="44" spans="1:13">
      <c r="A44" s="37"/>
      <c r="B44" s="53"/>
      <c r="C44" s="53"/>
      <c r="D44" s="53"/>
      <c r="E44" s="53"/>
      <c r="F44" s="53"/>
      <c r="G44" s="51"/>
      <c r="H44" s="51"/>
      <c r="I44" s="70"/>
      <c r="J44" s="71"/>
      <c r="K44" s="72"/>
      <c r="L44" s="51"/>
      <c r="M44" s="51"/>
    </row>
    <row r="45" spans="1:13">
      <c r="A45" s="37"/>
      <c r="B45" s="53"/>
      <c r="C45" s="53"/>
      <c r="D45" s="53"/>
      <c r="E45" s="53"/>
      <c r="F45" s="53"/>
      <c r="G45" s="51"/>
      <c r="H45" s="51"/>
      <c r="I45" s="70"/>
      <c r="J45" s="71"/>
      <c r="K45" s="72"/>
      <c r="L45" s="51"/>
      <c r="M45" s="51"/>
    </row>
    <row r="46" spans="1:13">
      <c r="A46" s="37"/>
      <c r="B46" s="53"/>
      <c r="C46" s="53"/>
      <c r="D46" s="53"/>
      <c r="E46" s="53"/>
      <c r="F46" s="53"/>
      <c r="G46" s="51"/>
      <c r="H46" s="51"/>
      <c r="I46" s="70"/>
      <c r="J46" s="71"/>
      <c r="K46" s="72"/>
      <c r="L46" s="51"/>
      <c r="M46" s="51"/>
    </row>
    <row r="47" spans="1:13">
      <c r="A47" s="37"/>
      <c r="B47" s="53"/>
      <c r="C47" s="53"/>
      <c r="D47" s="53"/>
      <c r="E47" s="53"/>
      <c r="F47" s="53"/>
      <c r="G47" s="51"/>
      <c r="H47" s="51"/>
      <c r="I47" s="70"/>
      <c r="J47" s="71"/>
      <c r="K47" s="72"/>
      <c r="L47" s="51"/>
      <c r="M47" s="51"/>
    </row>
    <row r="48" spans="1:13">
      <c r="A48" s="37"/>
      <c r="B48" s="53"/>
      <c r="C48" s="53"/>
      <c r="D48" s="53"/>
      <c r="E48" s="53"/>
      <c r="F48" s="53"/>
      <c r="G48" s="51"/>
      <c r="H48" s="51"/>
      <c r="I48" s="70"/>
      <c r="J48" s="71"/>
      <c r="K48" s="72"/>
      <c r="L48" s="51"/>
      <c r="M48" s="51"/>
    </row>
    <row r="49" spans="1:13">
      <c r="A49" s="37"/>
      <c r="B49" s="54"/>
      <c r="C49" s="54"/>
      <c r="D49" s="54"/>
      <c r="E49" s="54"/>
      <c r="F49" s="54"/>
      <c r="G49" s="51"/>
      <c r="H49" s="51"/>
      <c r="I49" s="51"/>
      <c r="J49" s="72"/>
      <c r="K49" s="72"/>
      <c r="L49" s="51"/>
      <c r="M49" s="51"/>
    </row>
    <row r="50" spans="1:13">
      <c r="A50" s="51"/>
      <c r="B50" s="51"/>
      <c r="C50" s="51"/>
      <c r="D50" s="51"/>
      <c r="E50" s="51"/>
      <c r="F50" s="51"/>
      <c r="G50" s="51"/>
      <c r="H50" s="51"/>
      <c r="I50" s="51"/>
      <c r="J50" s="71"/>
      <c r="K50" s="73"/>
      <c r="L50" s="51"/>
      <c r="M50" s="51"/>
    </row>
    <row r="51" spans="1:13">
      <c r="A51" s="51"/>
      <c r="B51" s="51"/>
      <c r="C51" s="51"/>
      <c r="D51" s="51"/>
      <c r="E51" s="51"/>
      <c r="F51" s="51"/>
      <c r="G51" s="51"/>
      <c r="H51" s="51"/>
      <c r="I51" s="51"/>
      <c r="J51" s="71"/>
      <c r="K51" s="73"/>
      <c r="L51" s="51"/>
      <c r="M51" s="51"/>
    </row>
    <row r="52" spans="1:13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</row>
    <row r="53" spans="1:13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</row>
    <row r="54" spans="1:13">
      <c r="A54" s="30"/>
      <c r="B54" s="37"/>
      <c r="C54" s="37"/>
      <c r="D54" s="37"/>
      <c r="E54" s="37"/>
      <c r="F54" s="37"/>
      <c r="G54" s="51"/>
      <c r="H54" s="51"/>
      <c r="I54" s="51"/>
      <c r="J54" s="51"/>
      <c r="K54" s="51"/>
      <c r="L54" s="51"/>
      <c r="M54" s="51"/>
    </row>
    <row r="55" spans="1:13">
      <c r="A55" s="37"/>
      <c r="B55" s="52"/>
      <c r="C55" s="53"/>
      <c r="D55" s="53"/>
      <c r="E55" s="53"/>
      <c r="F55" s="53"/>
      <c r="G55" s="51"/>
      <c r="H55" s="51"/>
      <c r="I55" s="51"/>
      <c r="J55" s="51"/>
      <c r="K55" s="51"/>
      <c r="L55" s="51"/>
      <c r="M55" s="51"/>
    </row>
    <row r="56" spans="1:13">
      <c r="A56" s="37"/>
      <c r="B56" s="52"/>
      <c r="C56" s="52"/>
      <c r="D56" s="53"/>
      <c r="E56" s="53"/>
      <c r="F56" s="53"/>
      <c r="G56" s="51"/>
      <c r="H56" s="51"/>
      <c r="I56" s="51"/>
      <c r="J56" s="51"/>
      <c r="K56" s="51"/>
      <c r="L56" s="51"/>
      <c r="M56" s="51"/>
    </row>
    <row r="57" spans="1:13">
      <c r="A57" s="37"/>
      <c r="B57" s="52"/>
      <c r="C57" s="52"/>
      <c r="D57" s="52"/>
      <c r="E57" s="53"/>
      <c r="F57" s="53"/>
      <c r="G57" s="51"/>
      <c r="H57" s="51"/>
      <c r="I57" s="51"/>
      <c r="J57" s="51"/>
      <c r="K57" s="51"/>
      <c r="L57" s="51"/>
      <c r="M57" s="51"/>
    </row>
    <row r="58" spans="1:13">
      <c r="A58" s="37"/>
      <c r="B58" s="52"/>
      <c r="C58" s="52"/>
      <c r="D58" s="52"/>
      <c r="E58" s="52"/>
      <c r="F58" s="53"/>
      <c r="G58" s="51"/>
      <c r="H58" s="51"/>
      <c r="I58" s="51"/>
      <c r="J58" s="51"/>
      <c r="K58" s="51"/>
      <c r="L58" s="51"/>
      <c r="M58" s="51"/>
    </row>
    <row r="59" spans="1:13">
      <c r="A59" s="37"/>
      <c r="B59" s="52"/>
      <c r="C59" s="52"/>
      <c r="D59" s="52"/>
      <c r="E59" s="52"/>
      <c r="F59" s="52"/>
      <c r="G59" s="51"/>
      <c r="H59" s="51"/>
      <c r="I59" s="51"/>
      <c r="J59" s="51"/>
      <c r="K59" s="51"/>
      <c r="L59" s="51"/>
      <c r="M59" s="51"/>
    </row>
    <row r="60" spans="1:13">
      <c r="A60" s="37"/>
      <c r="B60" s="52"/>
      <c r="C60" s="53"/>
      <c r="D60" s="53"/>
      <c r="E60" s="53"/>
      <c r="F60" s="53"/>
      <c r="G60" s="51"/>
      <c r="H60" s="51"/>
      <c r="I60" s="51"/>
      <c r="J60" s="51"/>
      <c r="K60" s="51"/>
      <c r="L60" s="51"/>
      <c r="M60" s="51"/>
    </row>
    <row r="61" spans="1:13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</row>
    <row r="62" spans="1:13">
      <c r="A62" s="30"/>
      <c r="B62" s="30"/>
      <c r="C62" s="30"/>
      <c r="D62" s="30"/>
      <c r="E62" s="30"/>
      <c r="F62" s="30"/>
      <c r="G62" s="51"/>
      <c r="H62" s="51"/>
      <c r="I62" s="30"/>
      <c r="J62" s="30"/>
      <c r="K62" s="69"/>
      <c r="L62" s="51"/>
      <c r="M62" s="51"/>
    </row>
    <row r="63" spans="1:13">
      <c r="A63" s="37"/>
      <c r="B63" s="53"/>
      <c r="C63" s="53"/>
      <c r="D63" s="53"/>
      <c r="E63" s="53"/>
      <c r="F63" s="53"/>
      <c r="G63" s="51"/>
      <c r="H63" s="51"/>
      <c r="I63" s="70"/>
      <c r="J63" s="71"/>
      <c r="K63" s="72"/>
      <c r="L63" s="51"/>
      <c r="M63" s="51"/>
    </row>
    <row r="64" spans="1:13">
      <c r="A64" s="37"/>
      <c r="B64" s="53"/>
      <c r="C64" s="53"/>
      <c r="D64" s="53"/>
      <c r="E64" s="53"/>
      <c r="F64" s="53"/>
      <c r="G64" s="51"/>
      <c r="H64" s="51"/>
      <c r="I64" s="70"/>
      <c r="J64" s="71"/>
      <c r="K64" s="72"/>
      <c r="L64" s="51"/>
      <c r="M64" s="51"/>
    </row>
    <row r="65" spans="1:13">
      <c r="A65" s="37"/>
      <c r="B65" s="53"/>
      <c r="C65" s="53"/>
      <c r="D65" s="53"/>
      <c r="E65" s="53"/>
      <c r="F65" s="53"/>
      <c r="G65" s="51"/>
      <c r="H65" s="51"/>
      <c r="I65" s="70"/>
      <c r="J65" s="71"/>
      <c r="K65" s="72"/>
      <c r="L65" s="51"/>
      <c r="M65" s="51"/>
    </row>
    <row r="66" spans="1:13">
      <c r="A66" s="37"/>
      <c r="B66" s="53"/>
      <c r="C66" s="53"/>
      <c r="D66" s="53"/>
      <c r="E66" s="53"/>
      <c r="F66" s="53"/>
      <c r="G66" s="51"/>
      <c r="H66" s="51"/>
      <c r="I66" s="70"/>
      <c r="J66" s="71"/>
      <c r="K66" s="72"/>
      <c r="L66" s="51"/>
      <c r="M66" s="51"/>
    </row>
    <row r="67" spans="1:13">
      <c r="A67" s="37"/>
      <c r="B67" s="53"/>
      <c r="C67" s="53"/>
      <c r="D67" s="53"/>
      <c r="E67" s="53"/>
      <c r="F67" s="53"/>
      <c r="G67" s="51"/>
      <c r="H67" s="51"/>
      <c r="I67" s="70"/>
      <c r="J67" s="71"/>
      <c r="K67" s="72"/>
      <c r="L67" s="51"/>
      <c r="M67" s="51"/>
    </row>
    <row r="68" spans="1:13">
      <c r="A68" s="37"/>
      <c r="B68" s="54"/>
      <c r="C68" s="54"/>
      <c r="D68" s="54"/>
      <c r="E68" s="54"/>
      <c r="F68" s="54"/>
      <c r="G68" s="51"/>
      <c r="H68" s="51"/>
      <c r="I68" s="51"/>
      <c r="J68" s="72"/>
      <c r="K68" s="72"/>
      <c r="L68" s="51"/>
      <c r="M68" s="51"/>
    </row>
    <row r="69" spans="1:13">
      <c r="A69" s="51"/>
      <c r="B69" s="51"/>
      <c r="C69" s="51"/>
      <c r="D69" s="51"/>
      <c r="E69" s="51"/>
      <c r="F69" s="51"/>
      <c r="G69" s="51"/>
      <c r="H69" s="51"/>
      <c r="I69" s="51"/>
      <c r="J69" s="71"/>
      <c r="K69" s="73"/>
      <c r="L69" s="51"/>
      <c r="M69" s="51"/>
    </row>
    <row r="70" spans="1:13">
      <c r="A70" s="51"/>
      <c r="B70" s="51"/>
      <c r="C70" s="51"/>
      <c r="D70" s="51"/>
      <c r="E70" s="51"/>
      <c r="F70" s="51"/>
      <c r="G70" s="51"/>
      <c r="H70" s="51"/>
      <c r="I70" s="51"/>
      <c r="J70" s="71"/>
      <c r="K70" s="73"/>
      <c r="L70" s="51"/>
      <c r="M70" s="51"/>
    </row>
    <row r="71" spans="1:13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</row>
    <row r="72" spans="1:13">
      <c r="A72" s="50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</row>
    <row r="73" spans="1:13">
      <c r="A73" s="30"/>
      <c r="B73" s="37"/>
      <c r="C73" s="37"/>
      <c r="D73" s="37"/>
      <c r="E73" s="37"/>
      <c r="F73" s="37"/>
      <c r="G73" s="51"/>
      <c r="H73" s="51"/>
      <c r="I73" s="51"/>
      <c r="J73" s="51"/>
      <c r="K73" s="51"/>
      <c r="L73" s="51"/>
      <c r="M73" s="51"/>
    </row>
    <row r="74" spans="1:13">
      <c r="A74" s="37"/>
      <c r="B74" s="52"/>
      <c r="C74" s="53"/>
      <c r="D74" s="53"/>
      <c r="E74" s="53"/>
      <c r="F74" s="53"/>
      <c r="G74" s="51"/>
      <c r="H74" s="51"/>
      <c r="I74" s="51"/>
      <c r="J74" s="51"/>
      <c r="K74" s="51"/>
      <c r="L74" s="51"/>
      <c r="M74" s="51"/>
    </row>
    <row r="75" spans="1:13">
      <c r="A75" s="37"/>
      <c r="B75" s="52"/>
      <c r="C75" s="52"/>
      <c r="D75" s="53"/>
      <c r="E75" s="53"/>
      <c r="F75" s="53"/>
      <c r="G75" s="51"/>
      <c r="H75" s="51"/>
      <c r="I75" s="51"/>
      <c r="J75" s="51"/>
      <c r="K75" s="51"/>
      <c r="L75" s="51"/>
      <c r="M75" s="51"/>
    </row>
    <row r="76" spans="1:13">
      <c r="A76" s="37"/>
      <c r="B76" s="52"/>
      <c r="C76" s="52"/>
      <c r="D76" s="52"/>
      <c r="E76" s="53"/>
      <c r="F76" s="53"/>
      <c r="G76" s="51"/>
      <c r="H76" s="51"/>
      <c r="I76" s="51"/>
      <c r="J76" s="51"/>
      <c r="K76" s="51"/>
      <c r="L76" s="51"/>
      <c r="M76" s="51"/>
    </row>
    <row r="77" spans="1:13">
      <c r="A77" s="37"/>
      <c r="B77" s="52"/>
      <c r="C77" s="52"/>
      <c r="D77" s="52"/>
      <c r="E77" s="52"/>
      <c r="F77" s="53"/>
      <c r="G77" s="51"/>
      <c r="H77" s="51"/>
      <c r="I77" s="51"/>
      <c r="J77" s="51"/>
      <c r="K77" s="51"/>
      <c r="L77" s="51"/>
      <c r="M77" s="51"/>
    </row>
    <row r="78" spans="1:13">
      <c r="A78" s="37"/>
      <c r="B78" s="52"/>
      <c r="C78" s="52"/>
      <c r="D78" s="52"/>
      <c r="E78" s="52"/>
      <c r="F78" s="52"/>
      <c r="G78" s="51"/>
      <c r="H78" s="51"/>
      <c r="I78" s="51"/>
      <c r="J78" s="51"/>
      <c r="K78" s="51"/>
      <c r="L78" s="51"/>
      <c r="M78" s="51"/>
    </row>
    <row r="79" spans="1:13">
      <c r="A79" s="37"/>
      <c r="B79" s="52"/>
      <c r="C79" s="53"/>
      <c r="D79" s="53"/>
      <c r="E79" s="53"/>
      <c r="F79" s="53"/>
      <c r="G79" s="51"/>
      <c r="H79" s="51"/>
      <c r="I79" s="51"/>
      <c r="J79" s="51"/>
      <c r="K79" s="51"/>
      <c r="L79" s="51"/>
      <c r="M79" s="51"/>
    </row>
    <row r="80" spans="1:13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</row>
    <row r="81" spans="1:13">
      <c r="A81" s="30"/>
      <c r="B81" s="30"/>
      <c r="C81" s="30"/>
      <c r="D81" s="30"/>
      <c r="E81" s="30"/>
      <c r="F81" s="30"/>
      <c r="G81" s="51"/>
      <c r="H81" s="51"/>
      <c r="I81" s="30"/>
      <c r="J81" s="30"/>
      <c r="K81" s="69"/>
      <c r="L81" s="51"/>
      <c r="M81" s="51"/>
    </row>
    <row r="82" spans="1:13">
      <c r="A82" s="37"/>
      <c r="B82" s="53"/>
      <c r="C82" s="53"/>
      <c r="D82" s="53"/>
      <c r="E82" s="53"/>
      <c r="F82" s="53"/>
      <c r="G82" s="51"/>
      <c r="H82" s="51"/>
      <c r="I82" s="70"/>
      <c r="J82" s="71"/>
      <c r="K82" s="72"/>
      <c r="L82" s="51"/>
      <c r="M82" s="51"/>
    </row>
    <row r="83" spans="1:13">
      <c r="A83" s="37"/>
      <c r="B83" s="53"/>
      <c r="C83" s="53"/>
      <c r="D83" s="53"/>
      <c r="E83" s="53"/>
      <c r="F83" s="53"/>
      <c r="G83" s="51"/>
      <c r="H83" s="51"/>
      <c r="I83" s="70"/>
      <c r="J83" s="71"/>
      <c r="K83" s="72"/>
      <c r="L83" s="51"/>
      <c r="M83" s="51"/>
    </row>
    <row r="84" spans="1:13">
      <c r="A84" s="37"/>
      <c r="B84" s="53"/>
      <c r="C84" s="53"/>
      <c r="D84" s="53"/>
      <c r="E84" s="53"/>
      <c r="F84" s="53"/>
      <c r="G84" s="51"/>
      <c r="H84" s="51"/>
      <c r="I84" s="70"/>
      <c r="J84" s="71"/>
      <c r="K84" s="72"/>
      <c r="L84" s="51"/>
      <c r="M84" s="51"/>
    </row>
    <row r="85" spans="1:13">
      <c r="A85" s="37"/>
      <c r="B85" s="53"/>
      <c r="C85" s="53"/>
      <c r="D85" s="53"/>
      <c r="E85" s="53"/>
      <c r="F85" s="53"/>
      <c r="G85" s="51"/>
      <c r="H85" s="51"/>
      <c r="I85" s="70"/>
      <c r="J85" s="71"/>
      <c r="K85" s="72"/>
      <c r="L85" s="51"/>
      <c r="M85" s="51"/>
    </row>
    <row r="86" spans="1:13">
      <c r="A86" s="37"/>
      <c r="B86" s="53"/>
      <c r="C86" s="53"/>
      <c r="D86" s="53"/>
      <c r="E86" s="53"/>
      <c r="F86" s="53"/>
      <c r="G86" s="51"/>
      <c r="H86" s="51"/>
      <c r="I86" s="70"/>
      <c r="J86" s="71"/>
      <c r="K86" s="72"/>
      <c r="L86" s="51"/>
      <c r="M86" s="51"/>
    </row>
    <row r="87" spans="1:13">
      <c r="A87" s="37"/>
      <c r="B87" s="54"/>
      <c r="C87" s="54"/>
      <c r="D87" s="54"/>
      <c r="E87" s="54"/>
      <c r="F87" s="54"/>
      <c r="G87" s="51"/>
      <c r="H87" s="51"/>
      <c r="I87" s="51"/>
      <c r="J87" s="72"/>
      <c r="K87" s="72"/>
      <c r="L87" s="51"/>
      <c r="M87" s="51"/>
    </row>
    <row r="88" spans="1:13">
      <c r="A88" s="51"/>
      <c r="B88" s="51"/>
      <c r="C88" s="51"/>
      <c r="D88" s="51"/>
      <c r="E88" s="51"/>
      <c r="F88" s="51"/>
      <c r="G88" s="51"/>
      <c r="H88" s="51"/>
      <c r="I88" s="51"/>
      <c r="J88" s="71"/>
      <c r="K88" s="73"/>
      <c r="L88" s="51"/>
      <c r="M88" s="51"/>
    </row>
    <row r="89" spans="1:13">
      <c r="A89" s="51"/>
      <c r="B89" s="51"/>
      <c r="C89" s="51"/>
      <c r="D89" s="51"/>
      <c r="E89" s="51"/>
      <c r="F89" s="51"/>
      <c r="G89" s="51"/>
      <c r="H89" s="51"/>
      <c r="I89" s="51"/>
      <c r="J89" s="71"/>
      <c r="K89" s="73"/>
      <c r="L89" s="51"/>
      <c r="M89" s="51"/>
    </row>
    <row r="90" spans="1:13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</row>
    <row r="91" spans="1:13">
      <c r="A91" s="50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</row>
    <row r="92" spans="1:13">
      <c r="A92" s="30"/>
      <c r="B92" s="37"/>
      <c r="C92" s="37"/>
      <c r="D92" s="37"/>
      <c r="E92" s="37"/>
      <c r="F92" s="37"/>
      <c r="G92" s="51"/>
      <c r="H92" s="51"/>
      <c r="I92" s="51"/>
      <c r="J92" s="51"/>
      <c r="K92" s="51"/>
      <c r="L92" s="51"/>
      <c r="M92" s="51"/>
    </row>
    <row r="93" spans="1:13">
      <c r="A93" s="37"/>
      <c r="B93" s="52"/>
      <c r="C93" s="53"/>
      <c r="D93" s="53"/>
      <c r="E93" s="53"/>
      <c r="F93" s="53"/>
      <c r="G93" s="51"/>
      <c r="H93" s="51"/>
      <c r="I93" s="51"/>
      <c r="J93" s="51"/>
      <c r="K93" s="51"/>
      <c r="L93" s="51"/>
      <c r="M93" s="51"/>
    </row>
    <row r="94" spans="1:13">
      <c r="A94" s="37"/>
      <c r="B94" s="52"/>
      <c r="C94" s="52"/>
      <c r="D94" s="53"/>
      <c r="E94" s="53"/>
      <c r="F94" s="53"/>
      <c r="G94" s="51"/>
      <c r="H94" s="51"/>
      <c r="I94" s="51"/>
      <c r="J94" s="51"/>
      <c r="K94" s="51"/>
      <c r="L94" s="51"/>
      <c r="M94" s="51"/>
    </row>
    <row r="95" spans="1:13">
      <c r="A95" s="37"/>
      <c r="B95" s="52"/>
      <c r="C95" s="52"/>
      <c r="D95" s="52"/>
      <c r="E95" s="53"/>
      <c r="F95" s="53"/>
      <c r="G95" s="51"/>
      <c r="H95" s="51"/>
      <c r="I95" s="51"/>
      <c r="J95" s="51"/>
      <c r="K95" s="51"/>
      <c r="L95" s="51"/>
      <c r="M95" s="51"/>
    </row>
    <row r="96" spans="1:13">
      <c r="A96" s="37"/>
      <c r="B96" s="52"/>
      <c r="C96" s="52"/>
      <c r="D96" s="52"/>
      <c r="E96" s="52"/>
      <c r="F96" s="53"/>
      <c r="G96" s="51"/>
      <c r="H96" s="51"/>
      <c r="I96" s="51"/>
      <c r="J96" s="51"/>
      <c r="K96" s="51"/>
      <c r="L96" s="51"/>
      <c r="M96" s="51"/>
    </row>
    <row r="97" spans="1:13">
      <c r="A97" s="37"/>
      <c r="B97" s="52"/>
      <c r="C97" s="52"/>
      <c r="D97" s="52"/>
      <c r="E97" s="52"/>
      <c r="F97" s="52"/>
      <c r="G97" s="51"/>
      <c r="H97" s="51"/>
      <c r="I97" s="51"/>
      <c r="J97" s="51"/>
      <c r="K97" s="51"/>
      <c r="L97" s="51"/>
      <c r="M97" s="51"/>
    </row>
    <row r="98" spans="1:13">
      <c r="A98" s="37"/>
      <c r="B98" s="52"/>
      <c r="C98" s="53"/>
      <c r="D98" s="53"/>
      <c r="E98" s="53"/>
      <c r="F98" s="53"/>
      <c r="G98" s="51"/>
      <c r="H98" s="51"/>
      <c r="I98" s="51"/>
      <c r="J98" s="51"/>
      <c r="K98" s="51"/>
      <c r="L98" s="51"/>
      <c r="M98" s="51"/>
    </row>
    <row r="99" spans="1:13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</row>
    <row r="100" spans="1:13">
      <c r="A100" s="30"/>
      <c r="B100" s="30"/>
      <c r="C100" s="30"/>
      <c r="D100" s="30"/>
      <c r="E100" s="30"/>
      <c r="F100" s="30"/>
      <c r="G100" s="51"/>
      <c r="H100" s="51"/>
      <c r="I100" s="30"/>
      <c r="J100" s="30"/>
      <c r="K100" s="69"/>
      <c r="L100" s="51"/>
      <c r="M100" s="51"/>
    </row>
    <row r="101" spans="1:13">
      <c r="A101" s="37"/>
      <c r="B101" s="53"/>
      <c r="C101" s="53"/>
      <c r="D101" s="53"/>
      <c r="E101" s="53"/>
      <c r="F101" s="53"/>
      <c r="G101" s="51"/>
      <c r="H101" s="51"/>
      <c r="I101" s="70"/>
      <c r="J101" s="71"/>
      <c r="K101" s="72"/>
      <c r="L101" s="51"/>
      <c r="M101" s="51"/>
    </row>
    <row r="102" spans="1:13">
      <c r="A102" s="37"/>
      <c r="B102" s="53"/>
      <c r="C102" s="53"/>
      <c r="D102" s="53"/>
      <c r="E102" s="53"/>
      <c r="F102" s="53"/>
      <c r="G102" s="51"/>
      <c r="H102" s="51"/>
      <c r="I102" s="70"/>
      <c r="J102" s="71"/>
      <c r="K102" s="72"/>
      <c r="L102" s="51"/>
      <c r="M102" s="51"/>
    </row>
    <row r="103" spans="1:13">
      <c r="A103" s="37"/>
      <c r="B103" s="53"/>
      <c r="C103" s="53"/>
      <c r="D103" s="53"/>
      <c r="E103" s="53"/>
      <c r="F103" s="53"/>
      <c r="G103" s="51"/>
      <c r="H103" s="51"/>
      <c r="I103" s="70"/>
      <c r="J103" s="71"/>
      <c r="K103" s="72"/>
      <c r="L103" s="51"/>
      <c r="M103" s="51"/>
    </row>
    <row r="104" spans="1:13">
      <c r="A104" s="37"/>
      <c r="B104" s="53"/>
      <c r="C104" s="53"/>
      <c r="D104" s="53"/>
      <c r="E104" s="53"/>
      <c r="F104" s="53"/>
      <c r="G104" s="51"/>
      <c r="H104" s="51"/>
      <c r="I104" s="70"/>
      <c r="J104" s="71"/>
      <c r="K104" s="72"/>
      <c r="L104" s="51"/>
      <c r="M104" s="51"/>
    </row>
    <row r="105" spans="1:13">
      <c r="A105" s="37"/>
      <c r="B105" s="53"/>
      <c r="C105" s="53"/>
      <c r="D105" s="53"/>
      <c r="E105" s="53"/>
      <c r="F105" s="53"/>
      <c r="G105" s="51"/>
      <c r="H105" s="51"/>
      <c r="I105" s="70"/>
      <c r="J105" s="71"/>
      <c r="K105" s="72"/>
      <c r="L105" s="51"/>
      <c r="M105" s="51"/>
    </row>
    <row r="106" spans="1:13">
      <c r="A106" s="37"/>
      <c r="B106" s="54"/>
      <c r="C106" s="54"/>
      <c r="D106" s="54"/>
      <c r="E106" s="54"/>
      <c r="F106" s="54"/>
      <c r="G106" s="51"/>
      <c r="H106" s="51"/>
      <c r="I106" s="51"/>
      <c r="J106" s="72"/>
      <c r="K106" s="72"/>
      <c r="L106" s="51"/>
      <c r="M106" s="51"/>
    </row>
    <row r="107" spans="1:13">
      <c r="A107" s="51"/>
      <c r="B107" s="51"/>
      <c r="C107" s="51"/>
      <c r="D107" s="51"/>
      <c r="E107" s="51"/>
      <c r="F107" s="51"/>
      <c r="G107" s="51"/>
      <c r="H107" s="51"/>
      <c r="I107" s="51"/>
      <c r="J107" s="71"/>
      <c r="K107" s="73"/>
      <c r="L107" s="51"/>
      <c r="M107" s="51"/>
    </row>
    <row r="108" spans="1:13">
      <c r="A108" s="51"/>
      <c r="B108" s="51"/>
      <c r="C108" s="51"/>
      <c r="D108" s="51"/>
      <c r="E108" s="51"/>
      <c r="F108" s="51"/>
      <c r="G108" s="51"/>
      <c r="H108" s="51"/>
      <c r="I108" s="51"/>
      <c r="J108" s="71"/>
      <c r="K108" s="73"/>
      <c r="L108" s="51"/>
      <c r="M108" s="51"/>
    </row>
    <row r="109" spans="1:13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</row>
    <row r="110" spans="1:13">
      <c r="A110" s="5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</row>
    <row r="111" spans="1:13">
      <c r="A111" s="30"/>
      <c r="B111" s="37"/>
      <c r="C111" s="37"/>
      <c r="D111" s="37"/>
      <c r="E111" s="37"/>
      <c r="F111" s="37"/>
      <c r="G111" s="51"/>
      <c r="H111" s="51"/>
      <c r="I111" s="51"/>
      <c r="J111" s="51"/>
      <c r="K111" s="51"/>
      <c r="L111" s="51"/>
      <c r="M111" s="51"/>
    </row>
    <row r="112" spans="1:13">
      <c r="A112" s="37"/>
      <c r="B112" s="52"/>
      <c r="C112" s="53"/>
      <c r="D112" s="53"/>
      <c r="E112" s="53"/>
      <c r="F112" s="53"/>
      <c r="G112" s="51"/>
      <c r="H112" s="51"/>
      <c r="I112" s="51"/>
      <c r="J112" s="51"/>
      <c r="K112" s="51"/>
      <c r="L112" s="51"/>
      <c r="M112" s="51"/>
    </row>
    <row r="113" spans="1:13">
      <c r="A113" s="37"/>
      <c r="B113" s="52"/>
      <c r="C113" s="52"/>
      <c r="D113" s="53"/>
      <c r="E113" s="53"/>
      <c r="F113" s="53"/>
      <c r="G113" s="51"/>
      <c r="H113" s="51"/>
      <c r="I113" s="51"/>
      <c r="J113" s="51"/>
      <c r="K113" s="51"/>
      <c r="L113" s="51"/>
      <c r="M113" s="51"/>
    </row>
    <row r="114" spans="1:13">
      <c r="A114" s="37"/>
      <c r="B114" s="52"/>
      <c r="C114" s="52"/>
      <c r="D114" s="52"/>
      <c r="E114" s="53"/>
      <c r="F114" s="53"/>
      <c r="G114" s="51"/>
      <c r="H114" s="51"/>
      <c r="I114" s="51"/>
      <c r="J114" s="51"/>
      <c r="K114" s="51"/>
      <c r="L114" s="51"/>
      <c r="M114" s="51"/>
    </row>
    <row r="115" spans="1:13">
      <c r="A115" s="37"/>
      <c r="B115" s="52"/>
      <c r="C115" s="52"/>
      <c r="D115" s="52"/>
      <c r="E115" s="52"/>
      <c r="F115" s="53"/>
      <c r="G115" s="51"/>
      <c r="H115" s="51"/>
      <c r="I115" s="51"/>
      <c r="J115" s="51"/>
      <c r="K115" s="51"/>
      <c r="L115" s="51"/>
      <c r="M115" s="51"/>
    </row>
    <row r="116" spans="1:13">
      <c r="A116" s="37"/>
      <c r="B116" s="52"/>
      <c r="C116" s="52"/>
      <c r="D116" s="52"/>
      <c r="E116" s="52"/>
      <c r="F116" s="52"/>
      <c r="G116" s="51"/>
      <c r="H116" s="51"/>
      <c r="I116" s="51"/>
      <c r="J116" s="51"/>
      <c r="K116" s="51"/>
      <c r="L116" s="51"/>
      <c r="M116" s="51"/>
    </row>
    <row r="117" spans="1:13">
      <c r="A117" s="37"/>
      <c r="B117" s="52"/>
      <c r="C117" s="53"/>
      <c r="D117" s="53"/>
      <c r="E117" s="53"/>
      <c r="F117" s="53"/>
      <c r="G117" s="51"/>
      <c r="H117" s="51"/>
      <c r="I117" s="51"/>
      <c r="J117" s="51"/>
      <c r="K117" s="51"/>
      <c r="L117" s="51"/>
      <c r="M117" s="51"/>
    </row>
    <row r="118" spans="1:13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</row>
    <row r="119" spans="1:13">
      <c r="A119" s="30"/>
      <c r="B119" s="30"/>
      <c r="C119" s="30"/>
      <c r="D119" s="30"/>
      <c r="E119" s="30"/>
      <c r="F119" s="30"/>
      <c r="G119" s="51"/>
      <c r="H119" s="51"/>
      <c r="I119" s="30"/>
      <c r="J119" s="30"/>
      <c r="K119" s="69"/>
      <c r="L119" s="51"/>
      <c r="M119" s="51"/>
    </row>
    <row r="120" spans="1:13">
      <c r="A120" s="37"/>
      <c r="B120" s="53"/>
      <c r="C120" s="53"/>
      <c r="D120" s="53"/>
      <c r="E120" s="53"/>
      <c r="F120" s="53"/>
      <c r="G120" s="51"/>
      <c r="H120" s="51"/>
      <c r="I120" s="70"/>
      <c r="J120" s="71"/>
      <c r="K120" s="72"/>
      <c r="L120" s="51"/>
      <c r="M120" s="51"/>
    </row>
    <row r="121" spans="1:13">
      <c r="A121" s="37"/>
      <c r="B121" s="53"/>
      <c r="C121" s="53"/>
      <c r="D121" s="53"/>
      <c r="E121" s="53"/>
      <c r="F121" s="53"/>
      <c r="G121" s="51"/>
      <c r="H121" s="51"/>
      <c r="I121" s="70"/>
      <c r="J121" s="71"/>
      <c r="K121" s="72"/>
      <c r="L121" s="51"/>
      <c r="M121" s="51"/>
    </row>
    <row r="122" spans="1:13">
      <c r="A122" s="37"/>
      <c r="B122" s="53"/>
      <c r="C122" s="53"/>
      <c r="D122" s="53"/>
      <c r="E122" s="53"/>
      <c r="F122" s="53"/>
      <c r="G122" s="51"/>
      <c r="H122" s="51"/>
      <c r="I122" s="70"/>
      <c r="J122" s="71"/>
      <c r="K122" s="72"/>
      <c r="L122" s="51"/>
      <c r="M122" s="51"/>
    </row>
    <row r="123" spans="1:13">
      <c r="A123" s="37"/>
      <c r="B123" s="53"/>
      <c r="C123" s="53"/>
      <c r="D123" s="53"/>
      <c r="E123" s="53"/>
      <c r="F123" s="53"/>
      <c r="G123" s="51"/>
      <c r="H123" s="51"/>
      <c r="I123" s="70"/>
      <c r="J123" s="71"/>
      <c r="K123" s="72"/>
      <c r="L123" s="51"/>
      <c r="M123" s="51"/>
    </row>
    <row r="124" spans="1:13">
      <c r="A124" s="37"/>
      <c r="B124" s="53"/>
      <c r="C124" s="53"/>
      <c r="D124" s="53"/>
      <c r="E124" s="53"/>
      <c r="F124" s="53"/>
      <c r="G124" s="51"/>
      <c r="H124" s="51"/>
      <c r="I124" s="70"/>
      <c r="J124" s="71"/>
      <c r="K124" s="72"/>
      <c r="L124" s="51"/>
      <c r="M124" s="51"/>
    </row>
    <row r="125" spans="1:13">
      <c r="A125" s="37"/>
      <c r="B125" s="54"/>
      <c r="C125" s="54"/>
      <c r="D125" s="54"/>
      <c r="E125" s="54"/>
      <c r="F125" s="54"/>
      <c r="G125" s="51"/>
      <c r="H125" s="51"/>
      <c r="I125" s="51"/>
      <c r="J125" s="72"/>
      <c r="K125" s="72"/>
      <c r="L125" s="51"/>
      <c r="M125" s="51"/>
    </row>
    <row r="126" spans="1:13">
      <c r="A126" s="51"/>
      <c r="B126" s="51"/>
      <c r="C126" s="51"/>
      <c r="D126" s="51"/>
      <c r="E126" s="51"/>
      <c r="F126" s="51"/>
      <c r="G126" s="51"/>
      <c r="H126" s="51"/>
      <c r="I126" s="51"/>
      <c r="J126" s="71"/>
      <c r="K126" s="73"/>
      <c r="L126" s="51"/>
      <c r="M126" s="51"/>
    </row>
    <row r="127" spans="1:13">
      <c r="A127" s="51"/>
      <c r="B127" s="51"/>
      <c r="C127" s="51"/>
      <c r="D127" s="51"/>
      <c r="E127" s="51"/>
      <c r="F127" s="51"/>
      <c r="G127" s="51"/>
      <c r="H127" s="51"/>
      <c r="I127" s="51"/>
      <c r="J127" s="71"/>
      <c r="K127" s="73"/>
      <c r="L127" s="51"/>
      <c r="M127" s="51"/>
    </row>
    <row r="128" spans="1:13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</row>
    <row r="129" spans="1:13">
      <c r="A129" s="50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</row>
    <row r="130" spans="1:13">
      <c r="A130" s="30"/>
      <c r="B130" s="37"/>
      <c r="C130" s="37"/>
      <c r="D130" s="37"/>
      <c r="E130" s="37"/>
      <c r="F130" s="37"/>
      <c r="G130" s="51"/>
      <c r="H130" s="51"/>
      <c r="I130" s="51"/>
      <c r="J130" s="51"/>
      <c r="K130" s="51"/>
      <c r="L130" s="51"/>
      <c r="M130" s="51"/>
    </row>
    <row r="131" spans="1:13">
      <c r="A131" s="37"/>
      <c r="B131" s="52"/>
      <c r="C131" s="53"/>
      <c r="D131" s="53"/>
      <c r="E131" s="53"/>
      <c r="F131" s="53"/>
      <c r="G131" s="51"/>
      <c r="H131" s="51"/>
      <c r="I131" s="51"/>
      <c r="J131" s="51"/>
      <c r="K131" s="51"/>
      <c r="L131" s="51"/>
      <c r="M131" s="51"/>
    </row>
    <row r="132" spans="1:13">
      <c r="A132" s="37"/>
      <c r="B132" s="52"/>
      <c r="C132" s="52"/>
      <c r="D132" s="53"/>
      <c r="E132" s="53"/>
      <c r="F132" s="53"/>
      <c r="G132" s="51"/>
      <c r="H132" s="51"/>
      <c r="I132" s="51"/>
      <c r="J132" s="51"/>
      <c r="K132" s="51"/>
      <c r="L132" s="51"/>
      <c r="M132" s="51"/>
    </row>
    <row r="133" spans="1:13">
      <c r="A133" s="37"/>
      <c r="B133" s="52"/>
      <c r="C133" s="52"/>
      <c r="D133" s="52"/>
      <c r="E133" s="53"/>
      <c r="F133" s="53"/>
      <c r="G133" s="51"/>
      <c r="H133" s="51"/>
      <c r="I133" s="51"/>
      <c r="J133" s="51"/>
      <c r="K133" s="51"/>
      <c r="L133" s="51"/>
      <c r="M133" s="51"/>
    </row>
    <row r="134" spans="1:13">
      <c r="A134" s="37"/>
      <c r="B134" s="52"/>
      <c r="C134" s="52"/>
      <c r="D134" s="52"/>
      <c r="E134" s="52"/>
      <c r="F134" s="53"/>
      <c r="G134" s="51"/>
      <c r="H134" s="51"/>
      <c r="I134" s="51"/>
      <c r="J134" s="51"/>
      <c r="K134" s="51"/>
      <c r="L134" s="51"/>
      <c r="M134" s="51"/>
    </row>
    <row r="135" spans="1:13">
      <c r="A135" s="37"/>
      <c r="B135" s="52"/>
      <c r="C135" s="52"/>
      <c r="D135" s="52"/>
      <c r="E135" s="52"/>
      <c r="F135" s="52"/>
      <c r="G135" s="51"/>
      <c r="H135" s="51"/>
      <c r="I135" s="51"/>
      <c r="J135" s="51"/>
      <c r="K135" s="51"/>
      <c r="L135" s="51"/>
      <c r="M135" s="51"/>
    </row>
    <row r="136" spans="1:13">
      <c r="A136" s="37"/>
      <c r="B136" s="52"/>
      <c r="C136" s="53"/>
      <c r="D136" s="53"/>
      <c r="E136" s="53"/>
      <c r="F136" s="53"/>
      <c r="G136" s="51"/>
      <c r="H136" s="51"/>
      <c r="I136" s="51"/>
      <c r="J136" s="51"/>
      <c r="K136" s="51"/>
      <c r="L136" s="51"/>
      <c r="M136" s="51"/>
    </row>
    <row r="137" spans="1:13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</row>
    <row r="138" spans="1:13">
      <c r="A138" s="30"/>
      <c r="B138" s="30"/>
      <c r="C138" s="30"/>
      <c r="D138" s="30"/>
      <c r="E138" s="30"/>
      <c r="F138" s="30"/>
      <c r="G138" s="51"/>
      <c r="H138" s="51"/>
      <c r="I138" s="30"/>
      <c r="J138" s="30"/>
      <c r="K138" s="69"/>
      <c r="L138" s="51"/>
      <c r="M138" s="51"/>
    </row>
    <row r="139" spans="1:13">
      <c r="A139" s="37"/>
      <c r="B139" s="53"/>
      <c r="C139" s="53"/>
      <c r="D139" s="53"/>
      <c r="E139" s="53"/>
      <c r="F139" s="53"/>
      <c r="G139" s="51"/>
      <c r="H139" s="51"/>
      <c r="I139" s="70"/>
      <c r="J139" s="71"/>
      <c r="K139" s="72"/>
      <c r="L139" s="51"/>
      <c r="M139" s="51"/>
    </row>
    <row r="140" spans="1:13">
      <c r="A140" s="37"/>
      <c r="B140" s="53"/>
      <c r="C140" s="53"/>
      <c r="D140" s="53"/>
      <c r="E140" s="53"/>
      <c r="F140" s="53"/>
      <c r="G140" s="51"/>
      <c r="H140" s="51"/>
      <c r="I140" s="70"/>
      <c r="J140" s="71"/>
      <c r="K140" s="72"/>
      <c r="L140" s="51"/>
      <c r="M140" s="51"/>
    </row>
    <row r="141" spans="1:13">
      <c r="A141" s="37"/>
      <c r="B141" s="53"/>
      <c r="C141" s="53"/>
      <c r="D141" s="53"/>
      <c r="E141" s="53"/>
      <c r="F141" s="53"/>
      <c r="G141" s="51"/>
      <c r="H141" s="51"/>
      <c r="I141" s="70"/>
      <c r="J141" s="71"/>
      <c r="K141" s="72"/>
      <c r="L141" s="51"/>
      <c r="M141" s="51"/>
    </row>
    <row r="142" spans="1:13">
      <c r="A142" s="37"/>
      <c r="B142" s="53"/>
      <c r="C142" s="53"/>
      <c r="D142" s="53"/>
      <c r="E142" s="53"/>
      <c r="F142" s="53"/>
      <c r="G142" s="51"/>
      <c r="H142" s="51"/>
      <c r="I142" s="70"/>
      <c r="J142" s="71"/>
      <c r="K142" s="72"/>
      <c r="L142" s="51"/>
      <c r="M142" s="51"/>
    </row>
    <row r="143" spans="1:13">
      <c r="A143" s="37"/>
      <c r="B143" s="53"/>
      <c r="C143" s="53"/>
      <c r="D143" s="53"/>
      <c r="E143" s="53"/>
      <c r="F143" s="53"/>
      <c r="G143" s="51"/>
      <c r="H143" s="51"/>
      <c r="I143" s="70"/>
      <c r="J143" s="71"/>
      <c r="K143" s="72"/>
      <c r="L143" s="51"/>
      <c r="M143" s="51"/>
    </row>
    <row r="144" spans="1:13">
      <c r="A144" s="37"/>
      <c r="B144" s="54"/>
      <c r="C144" s="54"/>
      <c r="D144" s="54"/>
      <c r="E144" s="54"/>
      <c r="F144" s="54"/>
      <c r="G144" s="51"/>
      <c r="H144" s="51"/>
      <c r="I144" s="51"/>
      <c r="J144" s="72"/>
      <c r="K144" s="72"/>
      <c r="L144" s="51"/>
      <c r="M144" s="51"/>
    </row>
    <row r="145" spans="1:13">
      <c r="A145" s="51"/>
      <c r="B145" s="51"/>
      <c r="C145" s="51"/>
      <c r="D145" s="51"/>
      <c r="E145" s="51"/>
      <c r="F145" s="51"/>
      <c r="G145" s="51"/>
      <c r="H145" s="51"/>
      <c r="I145" s="51"/>
      <c r="J145" s="71"/>
      <c r="K145" s="73"/>
      <c r="L145" s="51"/>
      <c r="M145" s="51"/>
    </row>
    <row r="146" spans="1:13">
      <c r="A146" s="51"/>
      <c r="B146" s="51"/>
      <c r="C146" s="51"/>
      <c r="D146" s="51"/>
      <c r="E146" s="51"/>
      <c r="F146" s="51"/>
      <c r="G146" s="51"/>
      <c r="H146" s="51"/>
      <c r="I146" s="51"/>
      <c r="J146" s="71"/>
      <c r="K146" s="73"/>
      <c r="L146" s="51"/>
      <c r="M146" s="51"/>
    </row>
    <row r="147" spans="1:13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</row>
    <row r="148" spans="1:13">
      <c r="A148" s="50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</row>
    <row r="149" spans="1:13">
      <c r="A149" s="30"/>
      <c r="B149" s="37"/>
      <c r="C149" s="37"/>
      <c r="D149" s="37"/>
      <c r="E149" s="37"/>
      <c r="F149" s="37"/>
      <c r="G149" s="37"/>
      <c r="H149" s="51"/>
      <c r="I149" s="30"/>
      <c r="J149" s="30"/>
      <c r="K149" s="51"/>
      <c r="L149" s="30"/>
      <c r="M149" s="30"/>
    </row>
    <row r="150" spans="1:13">
      <c r="A150" s="37"/>
      <c r="B150" s="77"/>
      <c r="C150" s="77"/>
      <c r="D150" s="77"/>
      <c r="E150" s="77"/>
      <c r="F150" s="73"/>
      <c r="G150" s="73"/>
      <c r="H150" s="51"/>
      <c r="I150" s="37"/>
      <c r="J150" s="51"/>
      <c r="K150" s="51"/>
      <c r="L150" s="37"/>
      <c r="M150" s="73"/>
    </row>
    <row r="151" spans="1:13">
      <c r="A151" s="37"/>
      <c r="B151" s="77"/>
      <c r="C151" s="77"/>
      <c r="D151" s="77"/>
      <c r="E151" s="77"/>
      <c r="F151" s="73"/>
      <c r="G151" s="73"/>
      <c r="H151" s="51"/>
      <c r="I151" s="37"/>
      <c r="J151" s="51"/>
      <c r="K151" s="51"/>
      <c r="L151" s="37"/>
      <c r="M151" s="73"/>
    </row>
    <row r="152" spans="1:13">
      <c r="A152" s="37"/>
      <c r="B152" s="77"/>
      <c r="C152" s="77"/>
      <c r="D152" s="77"/>
      <c r="E152" s="77"/>
      <c r="F152" s="73"/>
      <c r="G152" s="73"/>
      <c r="H152" s="51"/>
      <c r="I152" s="37"/>
      <c r="J152" s="51"/>
      <c r="K152" s="51"/>
      <c r="L152" s="37"/>
      <c r="M152" s="73"/>
    </row>
    <row r="153" spans="1:13">
      <c r="A153" s="37"/>
      <c r="B153" s="77"/>
      <c r="C153" s="77"/>
      <c r="D153" s="77"/>
      <c r="E153" s="77"/>
      <c r="F153" s="73"/>
      <c r="G153" s="73"/>
      <c r="H153" s="51"/>
      <c r="I153" s="37"/>
      <c r="J153" s="51"/>
      <c r="K153" s="51"/>
      <c r="L153" s="37"/>
      <c r="M153" s="73"/>
    </row>
    <row r="154" spans="1:13">
      <c r="A154" s="37"/>
      <c r="B154" s="77"/>
      <c r="C154" s="77"/>
      <c r="D154" s="77"/>
      <c r="E154" s="77"/>
      <c r="F154" s="73"/>
      <c r="G154" s="73"/>
      <c r="H154" s="51"/>
      <c r="I154" s="37"/>
      <c r="J154" s="51"/>
      <c r="K154" s="51"/>
      <c r="L154" s="37"/>
      <c r="M154" s="73"/>
    </row>
    <row r="155" spans="1:13">
      <c r="A155" s="51"/>
      <c r="B155" s="51"/>
      <c r="C155" s="51"/>
      <c r="D155" s="51"/>
      <c r="E155" s="51"/>
      <c r="F155" s="51"/>
      <c r="G155" s="51"/>
      <c r="H155" s="51"/>
      <c r="I155" s="37"/>
      <c r="J155" s="51"/>
      <c r="K155" s="51"/>
      <c r="L155" s="37"/>
      <c r="M155" s="73"/>
    </row>
    <row r="156" spans="1:13">
      <c r="A156" s="30"/>
      <c r="B156" s="37"/>
      <c r="C156" s="37"/>
      <c r="D156" s="37"/>
      <c r="E156" s="37"/>
      <c r="F156" s="37"/>
      <c r="G156" s="37"/>
      <c r="H156" s="51"/>
      <c r="I156" s="51"/>
      <c r="J156" s="51"/>
      <c r="K156" s="51"/>
      <c r="L156" s="51"/>
      <c r="M156" s="51"/>
    </row>
    <row r="157" spans="1:13">
      <c r="A157" s="30"/>
      <c r="B157" s="37"/>
      <c r="C157" s="37"/>
      <c r="D157" s="37"/>
      <c r="E157" s="37"/>
      <c r="F157" s="37"/>
      <c r="G157" s="37"/>
      <c r="H157" s="51"/>
      <c r="I157" s="37"/>
      <c r="J157" s="30"/>
      <c r="K157" s="51"/>
      <c r="L157" s="37"/>
      <c r="M157" s="30"/>
    </row>
    <row r="158" spans="1:13">
      <c r="A158" s="37"/>
      <c r="B158" s="77"/>
      <c r="C158" s="77"/>
      <c r="D158" s="77"/>
      <c r="E158" s="77"/>
      <c r="F158" s="51"/>
      <c r="G158" s="82"/>
      <c r="H158" s="51"/>
      <c r="I158" s="51"/>
      <c r="J158" s="51"/>
      <c r="K158" s="51"/>
      <c r="L158" s="73"/>
      <c r="M158" s="52"/>
    </row>
    <row r="159" spans="1:13">
      <c r="A159" s="37"/>
      <c r="B159" s="77"/>
      <c r="C159" s="77"/>
      <c r="D159" s="77"/>
      <c r="E159" s="77"/>
      <c r="F159" s="51"/>
      <c r="G159" s="82"/>
      <c r="H159" s="51"/>
      <c r="I159" s="51"/>
      <c r="J159" s="51"/>
      <c r="K159" s="51"/>
      <c r="L159" s="73"/>
      <c r="M159" s="52"/>
    </row>
    <row r="160" spans="1:13">
      <c r="A160" s="37"/>
      <c r="B160" s="77"/>
      <c r="C160" s="77"/>
      <c r="D160" s="77"/>
      <c r="E160" s="77"/>
      <c r="F160" s="51"/>
      <c r="G160" s="82"/>
      <c r="H160" s="51"/>
      <c r="I160" s="51"/>
      <c r="J160" s="51"/>
      <c r="K160" s="51"/>
      <c r="L160" s="73"/>
      <c r="M160" s="52"/>
    </row>
    <row r="161" spans="1:13">
      <c r="A161" s="37"/>
      <c r="B161" s="77"/>
      <c r="C161" s="77"/>
      <c r="D161" s="77"/>
      <c r="E161" s="77"/>
      <c r="F161" s="51"/>
      <c r="G161" s="82"/>
      <c r="H161" s="51"/>
      <c r="I161" s="51"/>
      <c r="J161" s="51"/>
      <c r="K161" s="51"/>
      <c r="L161" s="73"/>
      <c r="M161" s="52"/>
    </row>
    <row r="162" spans="1:13">
      <c r="A162" s="37"/>
      <c r="B162" s="77"/>
      <c r="C162" s="77"/>
      <c r="D162" s="77"/>
      <c r="E162" s="77"/>
      <c r="F162" s="51"/>
      <c r="G162" s="82"/>
      <c r="H162" s="51"/>
      <c r="I162" s="51"/>
      <c r="J162" s="51"/>
      <c r="K162" s="51"/>
      <c r="L162" s="73"/>
      <c r="M162" s="52"/>
    </row>
    <row r="163" spans="1:1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</row>
    <row r="164" spans="1:13">
      <c r="A164" s="78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</row>
    <row r="165" spans="1:13">
      <c r="A165" s="37"/>
      <c r="B165" s="30"/>
      <c r="C165" s="30"/>
      <c r="D165" s="51"/>
      <c r="E165" s="51"/>
      <c r="F165" s="51"/>
      <c r="G165" s="51"/>
      <c r="H165" s="51"/>
      <c r="I165" s="51"/>
      <c r="J165" s="51"/>
      <c r="K165" s="51"/>
      <c r="L165" s="51"/>
      <c r="M165" s="51"/>
    </row>
    <row r="166" spans="1:13">
      <c r="A166" s="79"/>
      <c r="B166" s="53"/>
      <c r="C166" s="37"/>
      <c r="D166" s="51"/>
      <c r="E166" s="51"/>
      <c r="F166" s="51"/>
      <c r="G166" s="51"/>
      <c r="H166" s="51"/>
      <c r="I166" s="51"/>
      <c r="J166" s="51"/>
      <c r="K166" s="51"/>
      <c r="L166" s="51"/>
      <c r="M166" s="51"/>
    </row>
    <row r="167" spans="1:13">
      <c r="A167" s="79"/>
      <c r="B167" s="53"/>
      <c r="C167" s="37"/>
      <c r="D167" s="51"/>
      <c r="E167" s="51"/>
      <c r="F167" s="51"/>
      <c r="G167" s="51"/>
      <c r="H167" s="51"/>
      <c r="I167" s="51"/>
      <c r="J167" s="51"/>
      <c r="K167" s="51"/>
      <c r="L167" s="51"/>
      <c r="M167" s="51"/>
    </row>
    <row r="168" spans="1:13">
      <c r="A168" s="79"/>
      <c r="B168" s="53"/>
      <c r="C168" s="37"/>
      <c r="D168" s="51"/>
      <c r="E168" s="51"/>
      <c r="F168" s="51"/>
      <c r="G168" s="51"/>
      <c r="H168" s="51"/>
      <c r="I168" s="51"/>
      <c r="J168" s="51"/>
      <c r="K168" s="51"/>
      <c r="L168" s="51"/>
      <c r="M168" s="51"/>
    </row>
    <row r="169" spans="1:13">
      <c r="A169" s="79"/>
      <c r="B169" s="53"/>
      <c r="C169" s="37"/>
      <c r="D169" s="51"/>
      <c r="E169" s="51"/>
      <c r="F169" s="51"/>
      <c r="G169" s="51"/>
      <c r="H169" s="51"/>
      <c r="I169" s="51"/>
      <c r="J169" s="51"/>
      <c r="K169" s="51"/>
      <c r="L169" s="51"/>
      <c r="M169" s="51"/>
    </row>
    <row r="170" spans="1:3">
      <c r="A170" s="80"/>
      <c r="B170" s="81"/>
      <c r="C170" s="37"/>
    </row>
  </sheetData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4"/>
  <sheetViews>
    <sheetView zoomScale="75" zoomScaleNormal="75" topLeftCell="A55" workbookViewId="0">
      <selection activeCell="K18" sqref="K18"/>
    </sheetView>
  </sheetViews>
  <sheetFormatPr defaultColWidth="9" defaultRowHeight="14.25"/>
  <cols>
    <col min="1" max="1" width="28.2833333333333" customWidth="1"/>
    <col min="2" max="2" width="14.1416666666667" customWidth="1"/>
    <col min="3" max="3" width="24.8583333333333" customWidth="1"/>
    <col min="4" max="4" width="26.7083333333333" customWidth="1"/>
    <col min="5" max="5" width="19.2833333333333" customWidth="1"/>
    <col min="6" max="6" width="14.425" customWidth="1"/>
    <col min="7" max="7" width="12.1416666666667" customWidth="1"/>
    <col min="13" max="13" width="16" customWidth="1"/>
  </cols>
  <sheetData>
    <row r="1" spans="3:7">
      <c r="C1" s="1" t="s">
        <v>47</v>
      </c>
      <c r="D1" s="1"/>
      <c r="E1" s="19"/>
      <c r="F1" s="19"/>
      <c r="G1" s="19"/>
    </row>
    <row r="3" spans="1:16">
      <c r="A3" s="2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I3" s="22" t="s">
        <v>55</v>
      </c>
      <c r="J3" s="22"/>
      <c r="K3" s="22"/>
      <c r="L3" s="22"/>
      <c r="M3" s="22"/>
      <c r="N3" s="22"/>
      <c r="O3" s="22"/>
      <c r="P3" s="22"/>
    </row>
    <row r="4" spans="1:16">
      <c r="A4" s="3" t="s">
        <v>56</v>
      </c>
      <c r="B4" s="4">
        <v>5</v>
      </c>
      <c r="C4" s="4">
        <v>4</v>
      </c>
      <c r="D4" s="4">
        <v>5</v>
      </c>
      <c r="E4" s="4">
        <v>5</v>
      </c>
      <c r="F4" s="4">
        <v>4</v>
      </c>
      <c r="G4" s="4">
        <v>3</v>
      </c>
      <c r="I4" s="22" t="s">
        <v>57</v>
      </c>
      <c r="J4" s="22"/>
      <c r="K4" s="22"/>
      <c r="L4" s="22"/>
      <c r="M4" s="22"/>
      <c r="N4" s="22"/>
      <c r="O4" s="22"/>
      <c r="P4" s="22"/>
    </row>
    <row r="5" spans="1:7">
      <c r="A5" s="3" t="s">
        <v>58</v>
      </c>
      <c r="B5" s="4">
        <v>4</v>
      </c>
      <c r="C5" s="4">
        <v>4</v>
      </c>
      <c r="D5" s="4">
        <v>4</v>
      </c>
      <c r="E5" s="4">
        <v>4</v>
      </c>
      <c r="F5" s="4">
        <v>3</v>
      </c>
      <c r="G5" s="4">
        <v>4</v>
      </c>
    </row>
    <row r="6" spans="1:13">
      <c r="A6" s="3" t="s">
        <v>59</v>
      </c>
      <c r="B6" s="4">
        <v>5</v>
      </c>
      <c r="C6" s="4">
        <v>5</v>
      </c>
      <c r="D6" s="4">
        <v>5</v>
      </c>
      <c r="E6" s="4">
        <v>5</v>
      </c>
      <c r="F6" s="4">
        <v>5</v>
      </c>
      <c r="G6" s="4">
        <v>2</v>
      </c>
      <c r="K6" s="3" t="s">
        <v>60</v>
      </c>
      <c r="L6" s="3" t="s">
        <v>61</v>
      </c>
      <c r="M6" s="3" t="s">
        <v>62</v>
      </c>
    </row>
    <row r="7" spans="1:13">
      <c r="A7" s="3" t="s">
        <v>63</v>
      </c>
      <c r="B7" s="4">
        <v>4</v>
      </c>
      <c r="C7" s="4">
        <v>3</v>
      </c>
      <c r="D7" s="4">
        <v>3</v>
      </c>
      <c r="E7" s="4">
        <v>4</v>
      </c>
      <c r="F7" s="4">
        <v>4</v>
      </c>
      <c r="G7" s="4">
        <v>3</v>
      </c>
      <c r="K7" s="3" t="s">
        <v>64</v>
      </c>
      <c r="L7" s="3">
        <v>5</v>
      </c>
      <c r="M7" s="3" t="s">
        <v>65</v>
      </c>
    </row>
    <row r="8" spans="1:13">
      <c r="A8" s="3" t="s">
        <v>66</v>
      </c>
      <c r="B8" s="4">
        <v>3</v>
      </c>
      <c r="C8" s="4">
        <v>3</v>
      </c>
      <c r="D8" s="4">
        <v>4</v>
      </c>
      <c r="E8" s="4">
        <v>3</v>
      </c>
      <c r="F8" s="4">
        <v>3</v>
      </c>
      <c r="G8" s="4">
        <v>5</v>
      </c>
      <c r="K8" s="3" t="s">
        <v>67</v>
      </c>
      <c r="L8" s="3">
        <v>4</v>
      </c>
      <c r="M8" s="3" t="s">
        <v>68</v>
      </c>
    </row>
    <row r="9" spans="11:13">
      <c r="K9" s="3" t="s">
        <v>69</v>
      </c>
      <c r="L9" s="3">
        <v>3</v>
      </c>
      <c r="M9" s="3" t="s">
        <v>70</v>
      </c>
    </row>
    <row r="10" spans="1:13">
      <c r="A10" s="2" t="s">
        <v>25</v>
      </c>
      <c r="B10" s="2" t="s">
        <v>71</v>
      </c>
      <c r="C10" s="2" t="s">
        <v>72</v>
      </c>
      <c r="E10" s="2" t="s">
        <v>73</v>
      </c>
      <c r="F10" s="2" t="s">
        <v>71</v>
      </c>
      <c r="H10" s="2" t="s">
        <v>25</v>
      </c>
      <c r="I10" s="2" t="s">
        <v>43</v>
      </c>
      <c r="K10" s="26" t="s">
        <v>74</v>
      </c>
      <c r="L10" s="3">
        <v>2</v>
      </c>
      <c r="M10" s="26" t="s">
        <v>75</v>
      </c>
    </row>
    <row r="11" spans="1:13">
      <c r="A11" s="3" t="s">
        <v>49</v>
      </c>
      <c r="B11" s="3" t="s">
        <v>76</v>
      </c>
      <c r="C11" s="3" t="s">
        <v>77</v>
      </c>
      <c r="D11" s="5"/>
      <c r="E11" s="3" t="s">
        <v>56</v>
      </c>
      <c r="F11" s="3" t="s">
        <v>78</v>
      </c>
      <c r="H11" s="3" t="s">
        <v>76</v>
      </c>
      <c r="I11" s="27">
        <v>0.05</v>
      </c>
      <c r="K11" s="3" t="s">
        <v>79</v>
      </c>
      <c r="L11" s="3">
        <v>1</v>
      </c>
      <c r="M11" s="3" t="s">
        <v>80</v>
      </c>
    </row>
    <row r="12" spans="1:9">
      <c r="A12" s="3" t="s">
        <v>50</v>
      </c>
      <c r="B12" s="3" t="s">
        <v>81</v>
      </c>
      <c r="C12" s="3" t="s">
        <v>82</v>
      </c>
      <c r="D12" s="5"/>
      <c r="E12" s="3" t="s">
        <v>58</v>
      </c>
      <c r="F12" s="3" t="s">
        <v>83</v>
      </c>
      <c r="H12" s="3" t="s">
        <v>81</v>
      </c>
      <c r="I12" s="27">
        <v>0.058</v>
      </c>
    </row>
    <row r="13" spans="1:9">
      <c r="A13" s="3" t="s">
        <v>51</v>
      </c>
      <c r="B13" s="3" t="s">
        <v>84</v>
      </c>
      <c r="C13" s="3" t="s">
        <v>82</v>
      </c>
      <c r="D13" s="5"/>
      <c r="E13" s="3" t="s">
        <v>59</v>
      </c>
      <c r="F13" s="3" t="s">
        <v>85</v>
      </c>
      <c r="H13" s="3" t="s">
        <v>84</v>
      </c>
      <c r="I13" s="27">
        <v>0.13</v>
      </c>
    </row>
    <row r="14" spans="1:9">
      <c r="A14" s="3" t="s">
        <v>52</v>
      </c>
      <c r="B14" s="3" t="s">
        <v>86</v>
      </c>
      <c r="C14" s="3" t="s">
        <v>82</v>
      </c>
      <c r="D14" s="5"/>
      <c r="E14" s="3" t="s">
        <v>63</v>
      </c>
      <c r="F14" s="3" t="s">
        <v>87</v>
      </c>
      <c r="H14" s="3" t="s">
        <v>86</v>
      </c>
      <c r="I14" s="27">
        <v>0.13</v>
      </c>
    </row>
    <row r="15" spans="1:9">
      <c r="A15" s="3" t="s">
        <v>53</v>
      </c>
      <c r="B15" s="3" t="s">
        <v>88</v>
      </c>
      <c r="C15" s="3" t="s">
        <v>82</v>
      </c>
      <c r="D15" s="5"/>
      <c r="E15" s="3" t="s">
        <v>66</v>
      </c>
      <c r="F15" s="3" t="s">
        <v>89</v>
      </c>
      <c r="H15" s="3" t="s">
        <v>88</v>
      </c>
      <c r="I15" s="27">
        <v>0.25</v>
      </c>
    </row>
    <row r="16" spans="1:9">
      <c r="A16" s="3" t="s">
        <v>54</v>
      </c>
      <c r="B16" s="3" t="s">
        <v>90</v>
      </c>
      <c r="C16" s="3" t="s">
        <v>77</v>
      </c>
      <c r="H16" s="3" t="s">
        <v>90</v>
      </c>
      <c r="I16" s="27">
        <v>0.38</v>
      </c>
    </row>
    <row r="17" spans="8:9">
      <c r="H17" s="6" t="s">
        <v>91</v>
      </c>
      <c r="I17" s="21"/>
    </row>
    <row r="18" ht="18" spans="8:9">
      <c r="H18" s="20" t="s">
        <v>92</v>
      </c>
      <c r="I18" s="28">
        <v>0.5</v>
      </c>
    </row>
    <row r="20" spans="1:7">
      <c r="A20" s="6" t="s">
        <v>93</v>
      </c>
      <c r="B20" s="7"/>
      <c r="C20" s="7"/>
      <c r="D20" s="7"/>
      <c r="E20" s="7"/>
      <c r="F20" s="7"/>
      <c r="G20" s="21"/>
    </row>
    <row r="21" spans="1:7">
      <c r="A21" s="8" t="s">
        <v>73</v>
      </c>
      <c r="B21" s="9" t="s">
        <v>25</v>
      </c>
      <c r="C21" s="10"/>
      <c r="D21" s="10"/>
      <c r="E21" s="10"/>
      <c r="F21" s="10"/>
      <c r="G21" s="10"/>
    </row>
    <row r="22" spans="1:7">
      <c r="A22" s="11"/>
      <c r="B22" s="12" t="str">
        <f t="array" ref="B22:G22">TRANSPOSE(B11:B16)</f>
        <v>C1</v>
      </c>
      <c r="C22" s="12" t="str">
        <v>C2</v>
      </c>
      <c r="D22" s="12" t="str">
        <v>C3</v>
      </c>
      <c r="E22" s="12" t="str">
        <v>C4</v>
      </c>
      <c r="F22" s="12" t="str">
        <v>C5</v>
      </c>
      <c r="G22" s="12" t="str">
        <v>C6</v>
      </c>
    </row>
    <row r="23" spans="1:16">
      <c r="A23" s="12" t="str">
        <f>F11</f>
        <v>A1</v>
      </c>
      <c r="B23" s="12">
        <f t="shared" ref="B23:G27" si="0">B4</f>
        <v>5</v>
      </c>
      <c r="C23" s="12">
        <f t="shared" si="0"/>
        <v>4</v>
      </c>
      <c r="D23" s="12">
        <f t="shared" si="0"/>
        <v>5</v>
      </c>
      <c r="E23" s="12">
        <f t="shared" si="0"/>
        <v>5</v>
      </c>
      <c r="F23" s="12">
        <f t="shared" si="0"/>
        <v>4</v>
      </c>
      <c r="G23" s="12">
        <f t="shared" si="0"/>
        <v>3</v>
      </c>
      <c r="J23" s="29" t="s">
        <v>94</v>
      </c>
      <c r="K23" s="2">
        <f t="shared" ref="K23:P27" si="1">B23</f>
        <v>5</v>
      </c>
      <c r="L23" s="2">
        <f t="shared" si="1"/>
        <v>4</v>
      </c>
      <c r="M23" s="2">
        <f t="shared" si="1"/>
        <v>5</v>
      </c>
      <c r="N23" s="2">
        <f t="shared" si="1"/>
        <v>5</v>
      </c>
      <c r="O23" s="2">
        <f t="shared" si="1"/>
        <v>4</v>
      </c>
      <c r="P23" s="2">
        <f t="shared" si="1"/>
        <v>3</v>
      </c>
    </row>
    <row r="24" spans="1:16">
      <c r="A24" s="12" t="str">
        <f t="shared" ref="A24:A27" si="2">F12</f>
        <v>A2</v>
      </c>
      <c r="B24" s="12">
        <f t="shared" si="0"/>
        <v>4</v>
      </c>
      <c r="C24" s="12">
        <f t="shared" si="0"/>
        <v>4</v>
      </c>
      <c r="D24" s="12">
        <f t="shared" si="0"/>
        <v>4</v>
      </c>
      <c r="E24" s="12">
        <f t="shared" si="0"/>
        <v>4</v>
      </c>
      <c r="F24" s="12">
        <f t="shared" si="0"/>
        <v>3</v>
      </c>
      <c r="G24" s="12">
        <f t="shared" si="0"/>
        <v>4</v>
      </c>
      <c r="J24" s="29"/>
      <c r="K24" s="2">
        <f t="shared" si="1"/>
        <v>4</v>
      </c>
      <c r="L24" s="2">
        <f t="shared" si="1"/>
        <v>4</v>
      </c>
      <c r="M24" s="2">
        <f t="shared" si="1"/>
        <v>4</v>
      </c>
      <c r="N24" s="2">
        <f t="shared" si="1"/>
        <v>4</v>
      </c>
      <c r="O24" s="2">
        <f t="shared" si="1"/>
        <v>3</v>
      </c>
      <c r="P24" s="2">
        <f t="shared" si="1"/>
        <v>4</v>
      </c>
    </row>
    <row r="25" spans="1:16">
      <c r="A25" s="12" t="str">
        <f t="shared" si="2"/>
        <v>A3</v>
      </c>
      <c r="B25" s="12">
        <f t="shared" si="0"/>
        <v>5</v>
      </c>
      <c r="C25" s="12">
        <f t="shared" si="0"/>
        <v>5</v>
      </c>
      <c r="D25" s="12">
        <f t="shared" si="0"/>
        <v>5</v>
      </c>
      <c r="E25" s="12">
        <f t="shared" si="0"/>
        <v>5</v>
      </c>
      <c r="F25" s="12">
        <f t="shared" si="0"/>
        <v>5</v>
      </c>
      <c r="G25" s="12">
        <f t="shared" si="0"/>
        <v>2</v>
      </c>
      <c r="J25" s="29"/>
      <c r="K25" s="2">
        <f t="shared" si="1"/>
        <v>5</v>
      </c>
      <c r="L25" s="2">
        <f t="shared" si="1"/>
        <v>5</v>
      </c>
      <c r="M25" s="2">
        <f t="shared" si="1"/>
        <v>5</v>
      </c>
      <c r="N25" s="2">
        <f t="shared" si="1"/>
        <v>5</v>
      </c>
      <c r="O25" s="2">
        <f t="shared" si="1"/>
        <v>5</v>
      </c>
      <c r="P25" s="2">
        <f t="shared" si="1"/>
        <v>2</v>
      </c>
    </row>
    <row r="26" spans="1:16">
      <c r="A26" s="12" t="str">
        <f t="shared" si="2"/>
        <v>A4</v>
      </c>
      <c r="B26" s="12">
        <f t="shared" si="0"/>
        <v>4</v>
      </c>
      <c r="C26" s="12">
        <f t="shared" si="0"/>
        <v>3</v>
      </c>
      <c r="D26" s="12">
        <f t="shared" si="0"/>
        <v>3</v>
      </c>
      <c r="E26" s="12">
        <f t="shared" si="0"/>
        <v>4</v>
      </c>
      <c r="F26" s="12">
        <f t="shared" si="0"/>
        <v>4</v>
      </c>
      <c r="G26" s="12">
        <f t="shared" si="0"/>
        <v>3</v>
      </c>
      <c r="J26" s="29"/>
      <c r="K26" s="2">
        <f t="shared" si="1"/>
        <v>4</v>
      </c>
      <c r="L26" s="2">
        <f t="shared" si="1"/>
        <v>3</v>
      </c>
      <c r="M26" s="2">
        <f t="shared" si="1"/>
        <v>3</v>
      </c>
      <c r="N26" s="2">
        <f t="shared" si="1"/>
        <v>4</v>
      </c>
      <c r="O26" s="2">
        <f t="shared" si="1"/>
        <v>4</v>
      </c>
      <c r="P26" s="2">
        <f t="shared" si="1"/>
        <v>3</v>
      </c>
    </row>
    <row r="27" spans="1:16">
      <c r="A27" s="12" t="str">
        <f t="shared" si="2"/>
        <v>A5</v>
      </c>
      <c r="B27" s="12">
        <f t="shared" si="0"/>
        <v>3</v>
      </c>
      <c r="C27" s="12">
        <f t="shared" si="0"/>
        <v>3</v>
      </c>
      <c r="D27" s="12">
        <f t="shared" si="0"/>
        <v>4</v>
      </c>
      <c r="E27" s="12">
        <f t="shared" si="0"/>
        <v>3</v>
      </c>
      <c r="F27" s="12">
        <f t="shared" si="0"/>
        <v>3</v>
      </c>
      <c r="G27" s="12">
        <f t="shared" si="0"/>
        <v>5</v>
      </c>
      <c r="J27" s="29"/>
      <c r="K27" s="2">
        <f t="shared" si="1"/>
        <v>3</v>
      </c>
      <c r="L27" s="2">
        <f t="shared" si="1"/>
        <v>3</v>
      </c>
      <c r="M27" s="2">
        <f t="shared" si="1"/>
        <v>4</v>
      </c>
      <c r="N27" s="2">
        <f t="shared" si="1"/>
        <v>3</v>
      </c>
      <c r="O27" s="2">
        <f t="shared" si="1"/>
        <v>3</v>
      </c>
      <c r="P27" s="2">
        <f t="shared" si="1"/>
        <v>5</v>
      </c>
    </row>
    <row r="28" spans="1:11">
      <c r="A28" s="13" t="s">
        <v>95</v>
      </c>
      <c r="B28" s="13">
        <f>MIN(B23:B27)</f>
        <v>3</v>
      </c>
      <c r="C28" s="13">
        <f>MIN(C23:C27)</f>
        <v>3</v>
      </c>
      <c r="D28" s="13">
        <f t="shared" ref="D28:G28" si="3">MIN(D23:D27)</f>
        <v>3</v>
      </c>
      <c r="E28" s="13">
        <f t="shared" si="3"/>
        <v>3</v>
      </c>
      <c r="F28" s="13">
        <f t="shared" si="3"/>
        <v>3</v>
      </c>
      <c r="G28" s="13">
        <f t="shared" si="3"/>
        <v>2</v>
      </c>
      <c r="K28" s="30"/>
    </row>
    <row r="29" spans="1:11">
      <c r="A29" s="14" t="s">
        <v>96</v>
      </c>
      <c r="B29" s="14">
        <f>MAX(B23:B27)</f>
        <v>5</v>
      </c>
      <c r="C29" s="14">
        <f t="shared" ref="C29:G29" si="4">MAX(C23:C27)</f>
        <v>5</v>
      </c>
      <c r="D29" s="14">
        <f t="shared" si="4"/>
        <v>5</v>
      </c>
      <c r="E29" s="14">
        <f t="shared" si="4"/>
        <v>5</v>
      </c>
      <c r="F29" s="14">
        <f t="shared" si="4"/>
        <v>5</v>
      </c>
      <c r="G29" s="14">
        <f t="shared" si="4"/>
        <v>5</v>
      </c>
      <c r="K29" s="30"/>
    </row>
    <row r="31" spans="8:8">
      <c r="H31" s="22" t="s">
        <v>97</v>
      </c>
    </row>
    <row r="32" spans="1:7">
      <c r="A32" s="6" t="s">
        <v>98</v>
      </c>
      <c r="B32" s="7"/>
      <c r="C32" s="7"/>
      <c r="D32" s="7"/>
      <c r="E32" s="7"/>
      <c r="F32" s="7"/>
      <c r="G32" s="21"/>
    </row>
    <row r="33" spans="1:14">
      <c r="A33" s="8" t="s">
        <v>73</v>
      </c>
      <c r="B33" s="9" t="s">
        <v>25</v>
      </c>
      <c r="C33" s="10"/>
      <c r="D33" s="10"/>
      <c r="E33" s="10"/>
      <c r="F33" s="10"/>
      <c r="G33" s="10"/>
      <c r="N33" s="22" t="s">
        <v>99</v>
      </c>
    </row>
    <row r="34" spans="1:7">
      <c r="A34" s="11"/>
      <c r="B34" s="12" t="str">
        <f>B22</f>
        <v>C1</v>
      </c>
      <c r="C34" s="12" t="str">
        <f t="shared" ref="C34:G34" si="5">C22</f>
        <v>C2</v>
      </c>
      <c r="D34" s="12" t="str">
        <f t="shared" si="5"/>
        <v>C3</v>
      </c>
      <c r="E34" s="12" t="str">
        <f t="shared" si="5"/>
        <v>C4</v>
      </c>
      <c r="F34" s="12" t="str">
        <f t="shared" si="5"/>
        <v>C5</v>
      </c>
      <c r="G34" s="12" t="str">
        <f t="shared" si="5"/>
        <v>C6</v>
      </c>
    </row>
    <row r="35" spans="1:7">
      <c r="A35" s="12" t="str">
        <f>A23</f>
        <v>A1</v>
      </c>
      <c r="B35" s="12">
        <f>B28/$B$23</f>
        <v>0.6</v>
      </c>
      <c r="C35" s="12">
        <f>C23/$C$29</f>
        <v>0.8</v>
      </c>
      <c r="D35" s="12">
        <f>D23/$D$29</f>
        <v>1</v>
      </c>
      <c r="E35" s="12">
        <f>E23/$E$29</f>
        <v>1</v>
      </c>
      <c r="F35" s="12">
        <f>F23/$F$29</f>
        <v>0.8</v>
      </c>
      <c r="G35" s="15">
        <f>G28/$G$23</f>
        <v>0.666666666666667</v>
      </c>
    </row>
    <row r="36" spans="1:7">
      <c r="A36" s="12" t="str">
        <f t="shared" ref="A36:A39" si="6">A24</f>
        <v>A2</v>
      </c>
      <c r="B36" s="15">
        <f>B28/$B$24</f>
        <v>0.75</v>
      </c>
      <c r="C36" s="12">
        <f t="shared" ref="C36:C39" si="7">C24/$C$29</f>
        <v>0.8</v>
      </c>
      <c r="D36" s="12">
        <f t="shared" ref="D36:D39" si="8">D24/$D$29</f>
        <v>0.8</v>
      </c>
      <c r="E36" s="12">
        <f t="shared" ref="E36:E39" si="9">E24/$E$29</f>
        <v>0.8</v>
      </c>
      <c r="F36" s="12">
        <f t="shared" ref="F36:F39" si="10">F24/$F$29</f>
        <v>0.6</v>
      </c>
      <c r="G36" s="15">
        <f>G28/$G$24</f>
        <v>0.5</v>
      </c>
    </row>
    <row r="37" spans="1:7">
      <c r="A37" s="12" t="str">
        <f t="shared" si="6"/>
        <v>A3</v>
      </c>
      <c r="B37" s="12">
        <f>B28/$B$25</f>
        <v>0.6</v>
      </c>
      <c r="C37" s="12">
        <f t="shared" si="7"/>
        <v>1</v>
      </c>
      <c r="D37" s="12">
        <f t="shared" si="8"/>
        <v>1</v>
      </c>
      <c r="E37" s="12">
        <f t="shared" si="9"/>
        <v>1</v>
      </c>
      <c r="F37" s="12">
        <f t="shared" si="10"/>
        <v>1</v>
      </c>
      <c r="G37" s="15">
        <f>G28/$G$25</f>
        <v>1</v>
      </c>
    </row>
    <row r="38" spans="1:7">
      <c r="A38" s="12" t="str">
        <f t="shared" si="6"/>
        <v>A4</v>
      </c>
      <c r="B38" s="15">
        <f>B28/$B$26</f>
        <v>0.75</v>
      </c>
      <c r="C38" s="12">
        <f t="shared" si="7"/>
        <v>0.6</v>
      </c>
      <c r="D38" s="12">
        <f t="shared" si="8"/>
        <v>0.6</v>
      </c>
      <c r="E38" s="12">
        <f t="shared" si="9"/>
        <v>0.8</v>
      </c>
      <c r="F38" s="12">
        <f t="shared" si="10"/>
        <v>0.8</v>
      </c>
      <c r="G38" s="15">
        <f>G28/$G$26</f>
        <v>0.666666666666667</v>
      </c>
    </row>
    <row r="39" spans="1:7">
      <c r="A39" s="12" t="str">
        <f t="shared" si="6"/>
        <v>A5</v>
      </c>
      <c r="B39" s="12">
        <f>B28/$B$27</f>
        <v>1</v>
      </c>
      <c r="C39" s="12">
        <f t="shared" si="7"/>
        <v>0.6</v>
      </c>
      <c r="D39" s="12">
        <f t="shared" si="8"/>
        <v>0.8</v>
      </c>
      <c r="E39" s="12">
        <f t="shared" si="9"/>
        <v>0.6</v>
      </c>
      <c r="F39" s="12">
        <f t="shared" si="10"/>
        <v>0.6</v>
      </c>
      <c r="G39" s="15">
        <f>G28/$G$27</f>
        <v>0.4</v>
      </c>
    </row>
    <row r="40" spans="1:7">
      <c r="A40" s="14" t="s">
        <v>72</v>
      </c>
      <c r="B40" s="14" t="str">
        <f t="array" ref="B40:G40">TRANSPOSE(C11:C16)</f>
        <v>Cost</v>
      </c>
      <c r="C40" s="14" t="str">
        <v>Benefit</v>
      </c>
      <c r="D40" s="14" t="str">
        <v>Benefit</v>
      </c>
      <c r="E40" s="14" t="str">
        <v>Benefit</v>
      </c>
      <c r="F40" s="14" t="str">
        <v>Benefit</v>
      </c>
      <c r="G40" s="14" t="str">
        <v>Cost</v>
      </c>
    </row>
    <row r="43" spans="1:8">
      <c r="A43" s="16" t="s">
        <v>100</v>
      </c>
      <c r="B43" s="17"/>
      <c r="C43" s="17"/>
      <c r="D43" s="17"/>
      <c r="E43" s="17"/>
      <c r="F43" s="17"/>
      <c r="G43" s="17"/>
      <c r="H43" s="17"/>
    </row>
    <row r="44" spans="1:8">
      <c r="A44" s="8" t="s">
        <v>73</v>
      </c>
      <c r="B44" s="9" t="s">
        <v>25</v>
      </c>
      <c r="C44" s="10"/>
      <c r="D44" s="10"/>
      <c r="E44" s="10"/>
      <c r="F44" s="10"/>
      <c r="G44" s="10"/>
      <c r="H44" s="23" t="s">
        <v>101</v>
      </c>
    </row>
    <row r="45" spans="1:8">
      <c r="A45" s="11"/>
      <c r="B45" s="12" t="str">
        <f>B34</f>
        <v>C1</v>
      </c>
      <c r="C45" s="12" t="str">
        <f t="shared" ref="C45:G45" si="11">C34</f>
        <v>C2</v>
      </c>
      <c r="D45" s="12" t="str">
        <f t="shared" si="11"/>
        <v>C3</v>
      </c>
      <c r="E45" s="12" t="str">
        <f t="shared" si="11"/>
        <v>C4</v>
      </c>
      <c r="F45" s="12" t="str">
        <f t="shared" si="11"/>
        <v>C5</v>
      </c>
      <c r="G45" s="12" t="str">
        <f t="shared" si="11"/>
        <v>C6</v>
      </c>
      <c r="H45" s="24"/>
    </row>
    <row r="46" spans="1:8">
      <c r="A46" s="12" t="str">
        <f>A35</f>
        <v>A1</v>
      </c>
      <c r="B46" s="18">
        <f>B35*B$51</f>
        <v>0.03</v>
      </c>
      <c r="C46" s="18">
        <f t="shared" ref="C46:G46" si="12">C35*C$51</f>
        <v>0.0464</v>
      </c>
      <c r="D46" s="12">
        <f t="shared" si="12"/>
        <v>0.13</v>
      </c>
      <c r="E46" s="18">
        <f t="shared" si="12"/>
        <v>0.13</v>
      </c>
      <c r="F46" s="18">
        <f t="shared" si="12"/>
        <v>0.2</v>
      </c>
      <c r="G46" s="18">
        <f t="shared" si="12"/>
        <v>0.253333333333333</v>
      </c>
      <c r="H46" s="25">
        <f>SUM(B46:G46)</f>
        <v>0.789733333333333</v>
      </c>
    </row>
    <row r="47" spans="1:8">
      <c r="A47" s="12" t="str">
        <f t="shared" ref="A47:A50" si="13">A36</f>
        <v>A2</v>
      </c>
      <c r="B47" s="18">
        <f>B36*B$51</f>
        <v>0.0375</v>
      </c>
      <c r="C47" s="18">
        <f t="shared" ref="B47:G50" si="14">C36*C$51</f>
        <v>0.0464</v>
      </c>
      <c r="D47" s="18">
        <f t="shared" si="14"/>
        <v>0.104</v>
      </c>
      <c r="E47" s="12">
        <f t="shared" si="14"/>
        <v>0.104</v>
      </c>
      <c r="F47" s="12">
        <f t="shared" si="14"/>
        <v>0.15</v>
      </c>
      <c r="G47" s="12">
        <f t="shared" si="14"/>
        <v>0.19</v>
      </c>
      <c r="H47" s="25">
        <f t="shared" ref="H47:H50" si="15">SUM(B47:G47)</f>
        <v>0.6319</v>
      </c>
    </row>
    <row r="48" spans="1:8">
      <c r="A48" s="12" t="str">
        <f t="shared" si="13"/>
        <v>A3</v>
      </c>
      <c r="B48" s="18">
        <f t="shared" si="14"/>
        <v>0.03</v>
      </c>
      <c r="C48" s="12">
        <f t="shared" si="14"/>
        <v>0.058</v>
      </c>
      <c r="D48" s="12">
        <f t="shared" si="14"/>
        <v>0.13</v>
      </c>
      <c r="E48" s="18">
        <f t="shared" si="14"/>
        <v>0.13</v>
      </c>
      <c r="F48" s="12">
        <f t="shared" si="14"/>
        <v>0.25</v>
      </c>
      <c r="G48" s="12">
        <f t="shared" si="14"/>
        <v>0.38</v>
      </c>
      <c r="H48" s="25">
        <f t="shared" si="15"/>
        <v>0.978</v>
      </c>
    </row>
    <row r="49" spans="1:8">
      <c r="A49" s="12" t="str">
        <f t="shared" si="13"/>
        <v>A4</v>
      </c>
      <c r="B49" s="18">
        <f t="shared" si="14"/>
        <v>0.0375</v>
      </c>
      <c r="C49" s="18">
        <f t="shared" si="14"/>
        <v>0.0348</v>
      </c>
      <c r="D49" s="18">
        <f t="shared" si="14"/>
        <v>0.078</v>
      </c>
      <c r="E49" s="12">
        <f t="shared" si="14"/>
        <v>0.104</v>
      </c>
      <c r="F49" s="18">
        <f t="shared" si="14"/>
        <v>0.2</v>
      </c>
      <c r="G49" s="18">
        <f t="shared" si="14"/>
        <v>0.253333333333333</v>
      </c>
      <c r="H49" s="25">
        <f t="shared" si="15"/>
        <v>0.707633333333333</v>
      </c>
    </row>
    <row r="50" spans="1:8">
      <c r="A50" s="12" t="str">
        <f t="shared" si="13"/>
        <v>A5</v>
      </c>
      <c r="B50" s="18">
        <f t="shared" si="14"/>
        <v>0.05</v>
      </c>
      <c r="C50" s="18">
        <f t="shared" si="14"/>
        <v>0.0348</v>
      </c>
      <c r="D50" s="18">
        <f t="shared" si="14"/>
        <v>0.104</v>
      </c>
      <c r="E50" s="12">
        <f t="shared" si="14"/>
        <v>0.078</v>
      </c>
      <c r="F50" s="12">
        <f t="shared" si="14"/>
        <v>0.15</v>
      </c>
      <c r="G50" s="18">
        <f t="shared" si="14"/>
        <v>0.152</v>
      </c>
      <c r="H50" s="25">
        <f t="shared" si="15"/>
        <v>0.5688</v>
      </c>
    </row>
    <row r="51" spans="1:7">
      <c r="A51" s="14" t="s">
        <v>43</v>
      </c>
      <c r="B51" s="14">
        <f t="array" ref="B51:G51">TRANSPOSE(I11:I16)</f>
        <v>0.05</v>
      </c>
      <c r="C51" s="14">
        <v>0.058</v>
      </c>
      <c r="D51" s="14">
        <v>0.13</v>
      </c>
      <c r="E51" s="14">
        <v>0.13</v>
      </c>
      <c r="F51" s="14">
        <v>0.25</v>
      </c>
      <c r="G51" s="14">
        <v>0.38</v>
      </c>
    </row>
    <row r="53" spans="1:8">
      <c r="A53" s="16" t="s">
        <v>102</v>
      </c>
      <c r="B53" s="17"/>
      <c r="C53" s="17"/>
      <c r="D53" s="17"/>
      <c r="E53" s="17"/>
      <c r="F53" s="17"/>
      <c r="G53" s="17"/>
      <c r="H53" s="17"/>
    </row>
    <row r="54" spans="1:8">
      <c r="A54" s="8" t="s">
        <v>73</v>
      </c>
      <c r="B54" s="9" t="s">
        <v>25</v>
      </c>
      <c r="C54" s="10"/>
      <c r="D54" s="10"/>
      <c r="E54" s="10"/>
      <c r="F54" s="10"/>
      <c r="G54" s="10"/>
      <c r="H54" s="23" t="s">
        <v>103</v>
      </c>
    </row>
    <row r="55" spans="1:8">
      <c r="A55" s="11"/>
      <c r="B55" s="12" t="str">
        <f>B45</f>
        <v>C1</v>
      </c>
      <c r="C55" s="12" t="str">
        <f t="shared" ref="C55:G55" si="16">C45</f>
        <v>C2</v>
      </c>
      <c r="D55" s="12" t="str">
        <f t="shared" si="16"/>
        <v>C3</v>
      </c>
      <c r="E55" s="12" t="str">
        <f t="shared" si="16"/>
        <v>C4</v>
      </c>
      <c r="F55" s="12" t="str">
        <f t="shared" si="16"/>
        <v>C5</v>
      </c>
      <c r="G55" s="12" t="str">
        <f t="shared" si="16"/>
        <v>C6</v>
      </c>
      <c r="H55" s="24"/>
    </row>
    <row r="56" spans="1:8">
      <c r="A56" s="12" t="str">
        <f>A46</f>
        <v>A1</v>
      </c>
      <c r="B56" s="18">
        <f>B35^$B$61</f>
        <v>0.97478213797016</v>
      </c>
      <c r="C56" s="18">
        <f>C35^$C$61</f>
        <v>0.987141065775857</v>
      </c>
      <c r="D56" s="18">
        <f>D35^$D$61</f>
        <v>1</v>
      </c>
      <c r="E56" s="18">
        <f>E35^$E$61</f>
        <v>1</v>
      </c>
      <c r="F56" s="18">
        <f>F35^$F$61</f>
        <v>0.945741609003176</v>
      </c>
      <c r="G56" s="18">
        <f>G35^$G$61</f>
        <v>0.857206235554022</v>
      </c>
      <c r="H56" s="25">
        <f>PRODUCT(B56:G56)</f>
        <v>0.780089801283978</v>
      </c>
    </row>
    <row r="57" spans="1:8">
      <c r="A57" s="12" t="str">
        <f t="shared" ref="A57:A60" si="17">A47</f>
        <v>A2</v>
      </c>
      <c r="B57" s="18">
        <f t="shared" ref="B57:B60" si="18">B36^$B$61</f>
        <v>0.985718853356815</v>
      </c>
      <c r="C57" s="18">
        <f t="shared" ref="C57:C60" si="19">C36^$C$61</f>
        <v>0.987141065775857</v>
      </c>
      <c r="D57" s="18">
        <f t="shared" ref="D57:D60" si="20">D36^$D$61</f>
        <v>0.971408050413374</v>
      </c>
      <c r="E57" s="18">
        <f t="shared" ref="E57:E60" si="21">E36^$E$61</f>
        <v>0.971408050413374</v>
      </c>
      <c r="F57" s="18">
        <f t="shared" ref="F57:F60" si="22">F36^$F$61</f>
        <v>0.880111736793393</v>
      </c>
      <c r="G57" s="18">
        <f t="shared" ref="G57:G60" si="23">G36^$G$61</f>
        <v>0.768437590644006</v>
      </c>
      <c r="H57" s="25">
        <f t="shared" ref="H57:H60" si="24">PRODUCT(B57:G57)</f>
        <v>0.620986406181743</v>
      </c>
    </row>
    <row r="58" spans="1:8">
      <c r="A58" s="12" t="str">
        <f t="shared" si="17"/>
        <v>A3</v>
      </c>
      <c r="B58" s="18">
        <f t="shared" si="18"/>
        <v>0.97478213797016</v>
      </c>
      <c r="C58" s="18">
        <f t="shared" si="19"/>
        <v>1</v>
      </c>
      <c r="D58" s="18">
        <f t="shared" si="20"/>
        <v>1</v>
      </c>
      <c r="E58" s="18">
        <f t="shared" si="21"/>
        <v>1</v>
      </c>
      <c r="F58" s="18">
        <f t="shared" si="22"/>
        <v>1</v>
      </c>
      <c r="G58" s="18">
        <f t="shared" si="23"/>
        <v>1</v>
      </c>
      <c r="H58" s="25">
        <f t="shared" si="24"/>
        <v>0.97478213797016</v>
      </c>
    </row>
    <row r="59" spans="1:8">
      <c r="A59" s="12" t="str">
        <f t="shared" si="17"/>
        <v>A4</v>
      </c>
      <c r="B59" s="18">
        <f t="shared" si="18"/>
        <v>0.985718853356815</v>
      </c>
      <c r="C59" s="18">
        <f t="shared" si="19"/>
        <v>0.970806716941123</v>
      </c>
      <c r="D59" s="18">
        <f t="shared" si="20"/>
        <v>0.935749626736904</v>
      </c>
      <c r="E59" s="18">
        <f t="shared" si="21"/>
        <v>0.971408050413374</v>
      </c>
      <c r="F59" s="18">
        <f t="shared" si="22"/>
        <v>0.945741609003176</v>
      </c>
      <c r="G59" s="18">
        <f t="shared" si="23"/>
        <v>0.857206235554022</v>
      </c>
      <c r="H59" s="25">
        <f t="shared" si="24"/>
        <v>0.705188164718777</v>
      </c>
    </row>
    <row r="60" spans="1:8">
      <c r="A60" s="12" t="str">
        <f t="shared" si="17"/>
        <v>A5</v>
      </c>
      <c r="B60" s="18">
        <f t="shared" si="18"/>
        <v>1</v>
      </c>
      <c r="C60" s="18">
        <f t="shared" si="19"/>
        <v>0.970806716941123</v>
      </c>
      <c r="D60" s="18">
        <f t="shared" si="20"/>
        <v>0.971408050413374</v>
      </c>
      <c r="E60" s="18">
        <f t="shared" si="21"/>
        <v>0.935749626736904</v>
      </c>
      <c r="F60" s="18">
        <f t="shared" si="22"/>
        <v>0.880111736793393</v>
      </c>
      <c r="G60" s="18">
        <f t="shared" si="23"/>
        <v>0.705964392641927</v>
      </c>
      <c r="H60" s="25">
        <f t="shared" si="24"/>
        <v>0.548295577199535</v>
      </c>
    </row>
    <row r="61" spans="1:7">
      <c r="A61" s="14" t="s">
        <v>43</v>
      </c>
      <c r="B61" s="14">
        <f t="array" ref="B61:G61">TRANSPOSE(I11:I16)</f>
        <v>0.05</v>
      </c>
      <c r="C61" s="14">
        <v>0.058</v>
      </c>
      <c r="D61" s="14">
        <v>0.13</v>
      </c>
      <c r="E61" s="14">
        <v>0.13</v>
      </c>
      <c r="F61" s="14">
        <v>0.25</v>
      </c>
      <c r="G61" s="14">
        <v>0.38</v>
      </c>
    </row>
    <row r="65" spans="1:7">
      <c r="A65" s="31" t="s">
        <v>104</v>
      </c>
      <c r="B65" s="32"/>
      <c r="C65" s="32"/>
      <c r="D65" s="32"/>
      <c r="E65" s="32"/>
      <c r="F65" s="32"/>
      <c r="G65" s="32"/>
    </row>
    <row r="66" spans="1:7">
      <c r="A66" s="33" t="s">
        <v>73</v>
      </c>
      <c r="B66" s="34" t="s">
        <v>101</v>
      </c>
      <c r="C66" s="34" t="s">
        <v>103</v>
      </c>
      <c r="D66" s="34" t="s">
        <v>92</v>
      </c>
      <c r="E66" s="34" t="s">
        <v>105</v>
      </c>
      <c r="F66" s="34" t="s">
        <v>106</v>
      </c>
      <c r="G66" s="34" t="s">
        <v>107</v>
      </c>
    </row>
    <row r="67" spans="1:7">
      <c r="A67" s="12" t="str">
        <f>A56</f>
        <v>A1</v>
      </c>
      <c r="B67" s="35">
        <f>H46</f>
        <v>0.789733333333333</v>
      </c>
      <c r="C67" s="35">
        <f>H56</f>
        <v>0.780089801283978</v>
      </c>
      <c r="D67" s="36">
        <f>I18</f>
        <v>0.5</v>
      </c>
      <c r="E67" s="35">
        <f>B67+C67/(SUM(B67:C67))</f>
        <v>1.28666179876466</v>
      </c>
      <c r="F67" s="35">
        <f>(B67/MIN($B$67:$B$71)+(C67/MIN($C$67:$C$71)))</f>
        <v>2.81117420359192</v>
      </c>
      <c r="G67" s="35">
        <f>($D$67*B67+(1-$D$67)*C67)/($D$67*MAX($B$67:$B$71)+(1-$D$67)*MAX($C$67:$C$71))</f>
        <v>0.803890564181973</v>
      </c>
    </row>
    <row r="68" spans="1:7">
      <c r="A68" s="12" t="str">
        <f t="shared" ref="A68:A71" si="25">A57</f>
        <v>A2</v>
      </c>
      <c r="B68" s="35">
        <f t="shared" ref="B68:B71" si="26">H47</f>
        <v>0.6319</v>
      </c>
      <c r="C68" s="35">
        <f t="shared" ref="C68:C71" si="27">H57</f>
        <v>0.620986406181743</v>
      </c>
      <c r="D68" s="36"/>
      <c r="E68" s="35">
        <f t="shared" ref="E68:E71" si="28">B68+C68/(SUM(B68:C68))</f>
        <v>1.12754461959025</v>
      </c>
      <c r="F68" s="35">
        <f t="shared" ref="F68:F71" si="29">(B68/MIN($B$67:$B$71)+(C68/MIN($C$67:$C$71)))</f>
        <v>2.24351129243178</v>
      </c>
      <c r="G68" s="35">
        <f t="shared" ref="G68:G71" si="30">($D$67*B68+(1-$D$67)*C68)/($D$67*MAX($B$67:$B$71)+(1-$D$67)*MAX($C$67:$C$71))</f>
        <v>0.641590468194301</v>
      </c>
    </row>
    <row r="69" spans="1:7">
      <c r="A69" s="12" t="str">
        <f t="shared" si="25"/>
        <v>A3</v>
      </c>
      <c r="B69" s="35">
        <f t="shared" si="26"/>
        <v>0.978</v>
      </c>
      <c r="C69" s="35">
        <f t="shared" si="27"/>
        <v>0.97478213797016</v>
      </c>
      <c r="D69" s="36"/>
      <c r="E69" s="35">
        <f t="shared" si="28"/>
        <v>1.4771760826855</v>
      </c>
      <c r="F69" s="35">
        <f t="shared" si="29"/>
        <v>3.49724988274491</v>
      </c>
      <c r="G69" s="35">
        <f t="shared" si="30"/>
        <v>1</v>
      </c>
    </row>
    <row r="70" spans="1:7">
      <c r="A70" s="12" t="str">
        <f t="shared" si="25"/>
        <v>A4</v>
      </c>
      <c r="B70" s="35">
        <f t="shared" si="26"/>
        <v>0.707633333333333</v>
      </c>
      <c r="C70" s="35">
        <f t="shared" si="27"/>
        <v>0.705188164718777</v>
      </c>
      <c r="D70" s="36"/>
      <c r="E70" s="35">
        <f t="shared" si="28"/>
        <v>1.20676798388263</v>
      </c>
      <c r="F70" s="35">
        <f t="shared" si="29"/>
        <v>2.53022710876815</v>
      </c>
      <c r="G70" s="35">
        <f t="shared" si="30"/>
        <v>0.723491612597749</v>
      </c>
    </row>
    <row r="71" spans="1:7">
      <c r="A71" s="12" t="str">
        <f t="shared" si="25"/>
        <v>A5</v>
      </c>
      <c r="B71" s="35">
        <f t="shared" si="26"/>
        <v>0.5688</v>
      </c>
      <c r="C71" s="35">
        <f t="shared" si="27"/>
        <v>0.548295577199535</v>
      </c>
      <c r="D71" s="36"/>
      <c r="E71" s="35">
        <f t="shared" si="28"/>
        <v>1.05962244025535</v>
      </c>
      <c r="F71" s="35">
        <f t="shared" si="29"/>
        <v>2</v>
      </c>
      <c r="G71" s="35">
        <f t="shared" si="30"/>
        <v>0.572053356838214</v>
      </c>
    </row>
    <row r="73" spans="1:1">
      <c r="A73" t="s">
        <v>108</v>
      </c>
    </row>
    <row r="74" spans="1:1">
      <c r="A74" t="s">
        <v>109</v>
      </c>
    </row>
    <row r="75" spans="1:1">
      <c r="A75" t="s">
        <v>110</v>
      </c>
    </row>
    <row r="78" spans="1:6">
      <c r="A78" s="31" t="s">
        <v>111</v>
      </c>
      <c r="B78" s="31"/>
      <c r="C78" s="31"/>
      <c r="D78" s="37"/>
      <c r="E78" s="37"/>
      <c r="F78" s="37"/>
    </row>
    <row r="79" spans="1:3">
      <c r="A79" s="38" t="s">
        <v>73</v>
      </c>
      <c r="B79" s="38" t="s">
        <v>112</v>
      </c>
      <c r="C79" s="38" t="s">
        <v>113</v>
      </c>
    </row>
    <row r="80" spans="1:4">
      <c r="A80" s="12" t="str">
        <f>A67</f>
        <v>A1</v>
      </c>
      <c r="B80" s="39">
        <f>(PRODUCT(E67:G67)^(1/3)+((1/3)*(SUM(E67:G67))))</f>
        <v>3.06121247007809</v>
      </c>
      <c r="C80" s="40">
        <f>RANK(B80,$B$80:$B$84,0)</f>
        <v>2</v>
      </c>
      <c r="D80" s="3" t="s">
        <v>56</v>
      </c>
    </row>
    <row r="81" spans="1:4">
      <c r="A81" s="12" t="str">
        <f t="shared" ref="A81:A84" si="31">A68</f>
        <v>A2</v>
      </c>
      <c r="B81" s="39">
        <f t="shared" ref="B81:B84" si="32">(PRODUCT(E68:G68)^(1/3)+((1/3)*(SUM(E68:G68))))</f>
        <v>2.51273485909071</v>
      </c>
      <c r="C81" s="40">
        <f t="shared" ref="C81:C84" si="33">RANK(B81,$B$80:$B$84,0)</f>
        <v>4</v>
      </c>
      <c r="D81" s="3" t="s">
        <v>58</v>
      </c>
    </row>
    <row r="82" spans="1:4">
      <c r="A82" s="12" t="str">
        <f t="shared" si="31"/>
        <v>A3</v>
      </c>
      <c r="B82" s="39">
        <f t="shared" si="32"/>
        <v>3.72017536899948</v>
      </c>
      <c r="C82" s="40">
        <f t="shared" si="33"/>
        <v>1</v>
      </c>
      <c r="D82" s="3" t="s">
        <v>59</v>
      </c>
    </row>
    <row r="83" spans="1:4">
      <c r="A83" s="12" t="str">
        <f t="shared" si="31"/>
        <v>A4</v>
      </c>
      <c r="B83" s="39">
        <f t="shared" si="32"/>
        <v>2.78921253008466</v>
      </c>
      <c r="C83" s="40">
        <f t="shared" si="33"/>
        <v>3</v>
      </c>
      <c r="D83" s="3" t="s">
        <v>63</v>
      </c>
    </row>
    <row r="84" spans="1:4">
      <c r="A84" s="12" t="str">
        <f t="shared" si="31"/>
        <v>A5</v>
      </c>
      <c r="B84" s="39">
        <f t="shared" si="32"/>
        <v>2.27684178357807</v>
      </c>
      <c r="C84" s="40">
        <f t="shared" si="33"/>
        <v>5</v>
      </c>
      <c r="D84" s="3" t="s">
        <v>66</v>
      </c>
    </row>
  </sheetData>
  <mergeCells count="20">
    <mergeCell ref="C1:D1"/>
    <mergeCell ref="H17:I17"/>
    <mergeCell ref="A20:G20"/>
    <mergeCell ref="B21:G21"/>
    <mergeCell ref="A32:G32"/>
    <mergeCell ref="B33:G33"/>
    <mergeCell ref="A43:H43"/>
    <mergeCell ref="B44:G44"/>
    <mergeCell ref="A53:H53"/>
    <mergeCell ref="B54:G54"/>
    <mergeCell ref="A65:G65"/>
    <mergeCell ref="A78:C78"/>
    <mergeCell ref="A21:A22"/>
    <mergeCell ref="A33:A34"/>
    <mergeCell ref="A44:A45"/>
    <mergeCell ref="A54:A55"/>
    <mergeCell ref="D67:D71"/>
    <mergeCell ref="H44:H45"/>
    <mergeCell ref="H54:H55"/>
    <mergeCell ref="J23:J27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Perhitungan AHP</vt:lpstr>
      <vt:lpstr>Perhitungan COCOSO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yahya</cp:lastModifiedBy>
  <dcterms:created xsi:type="dcterms:W3CDTF">2026-04-15T07:31:00Z</dcterms:created>
  <dcterms:modified xsi:type="dcterms:W3CDTF">2026-05-21T10:25:21Z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